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C:\Code\MyRun\Plan\"/>
    </mc:Choice>
  </mc:AlternateContent>
  <bookViews>
    <workbookView xWindow="0" yWindow="0" windowWidth="28800" windowHeight="12450" firstSheet="1" activeTab="1"/>
  </bookViews>
  <sheets>
    <sheet name="Instructions" sheetId="2" state="hidden" r:id="rId1"/>
    <sheet name="PaceCalMaxHR" sheetId="8" r:id="rId2"/>
    <sheet name="AM55MaxHR" sheetId="9" r:id="rId3"/>
    <sheet name="Daniels Tables" sheetId="3" state="hidden" r:id="rId4"/>
    <sheet name="PaceCalHHR" sheetId="10" state="hidden" r:id="rId5"/>
  </sheets>
  <definedNames>
    <definedName name="AccessDatabase" hidden="1">"G:\My Documents\runlog.mdb"</definedName>
    <definedName name="DailyRange">#REF!</definedName>
    <definedName name="dist" localSheetId="0">IF(dist_pref="Miles",miles,kilometers)</definedName>
    <definedName name="dist">IF(dist_pref="Miles",miles,kilometers)</definedName>
    <definedName name="dist?">IF(dist_pref="Miles",miles,kilometers)</definedName>
    <definedName name="_xlnm.Print_Area" localSheetId="2">AM55MaxHR!$A$1:$I$39</definedName>
    <definedName name="_xlnm.Print_Area" localSheetId="1">PaceCalMaxHR!$A$2:$I$14</definedName>
    <definedName name="WeeklyRange">#REF!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2" i="3" l="1"/>
  <c r="B6" i="10"/>
  <c r="B7" i="10"/>
  <c r="F13" i="10" s="1"/>
  <c r="B5" i="10"/>
  <c r="C12" i="10" s="1"/>
  <c r="F49" i="9"/>
  <c r="F48" i="9"/>
  <c r="F47" i="9"/>
  <c r="F46" i="9"/>
  <c r="F45" i="9"/>
  <c r="F44" i="9"/>
  <c r="F43" i="9"/>
  <c r="D12" i="10"/>
  <c r="F2" i="9"/>
  <c r="A1" i="9" s="1"/>
  <c r="E4" i="3"/>
  <c r="G6" i="3"/>
  <c r="M16" i="3" s="1"/>
  <c r="D8" i="10"/>
  <c r="F9" i="10"/>
  <c r="F10" i="10"/>
  <c r="F11" i="10"/>
  <c r="F12" i="10"/>
  <c r="F8" i="10"/>
  <c r="D10" i="10"/>
  <c r="D11" i="10"/>
  <c r="E3" i="3"/>
  <c r="Z35" i="3" s="1"/>
  <c r="E74" i="9"/>
  <c r="H74" i="9"/>
  <c r="H75" i="9"/>
  <c r="E73" i="9"/>
  <c r="H73" i="9"/>
  <c r="K73" i="9"/>
  <c r="H71" i="9"/>
  <c r="D49" i="9"/>
  <c r="D48" i="9"/>
  <c r="D47" i="9"/>
  <c r="D46" i="9"/>
  <c r="D45" i="9"/>
  <c r="D44" i="9"/>
  <c r="D43" i="9"/>
  <c r="B41" i="9"/>
  <c r="E44" i="9" s="1"/>
  <c r="E43" i="9"/>
  <c r="G15" i="9"/>
  <c r="C4" i="9"/>
  <c r="C6" i="9"/>
  <c r="C8" i="9"/>
  <c r="C10" i="9"/>
  <c r="C12" i="9" s="1"/>
  <c r="C14" i="9" s="1"/>
  <c r="C16" i="9" s="1"/>
  <c r="C18" i="9" s="1"/>
  <c r="C20" i="9" s="1"/>
  <c r="C22" i="9" s="1"/>
  <c r="C24" i="9" s="1"/>
  <c r="C26" i="9" s="1"/>
  <c r="C28" i="9" s="1"/>
  <c r="C30" i="9" s="1"/>
  <c r="C32" i="9" s="1"/>
  <c r="C34" i="9" s="1"/>
  <c r="C36" i="9" s="1"/>
  <c r="C38" i="9" s="1"/>
  <c r="F13" i="8"/>
  <c r="B13" i="8"/>
  <c r="H43" i="9" s="1"/>
  <c r="F12" i="8"/>
  <c r="D12" i="8"/>
  <c r="C12" i="8"/>
  <c r="G44" i="9"/>
  <c r="B12" i="8"/>
  <c r="H44" i="9" s="1"/>
  <c r="F11" i="8"/>
  <c r="D11" i="8"/>
  <c r="C11" i="8"/>
  <c r="G46" i="9" s="1"/>
  <c r="B11" i="8"/>
  <c r="H45" i="9" s="1"/>
  <c r="F10" i="8"/>
  <c r="D10" i="8"/>
  <c r="F9" i="8"/>
  <c r="D9" i="8"/>
  <c r="F8" i="8"/>
  <c r="D8" i="8"/>
  <c r="B8" i="8"/>
  <c r="G49" i="9" s="1"/>
  <c r="D76" i="9" s="1"/>
  <c r="E76" i="9" s="1"/>
  <c r="J76" i="9" s="1"/>
  <c r="J77" i="9" s="1"/>
  <c r="D4" i="9"/>
  <c r="D6" i="9" s="1"/>
  <c r="D8" i="9" s="1"/>
  <c r="D10" i="9" s="1"/>
  <c r="D12" i="9" s="1"/>
  <c r="D14" i="9" s="1"/>
  <c r="D16" i="9" s="1"/>
  <c r="D18" i="9" s="1"/>
  <c r="D20" i="9" s="1"/>
  <c r="D22" i="9" s="1"/>
  <c r="D24" i="9" s="1"/>
  <c r="D26" i="9" s="1"/>
  <c r="D28" i="9" s="1"/>
  <c r="D30" i="9" s="1"/>
  <c r="D32" i="9" s="1"/>
  <c r="D34" i="9" s="1"/>
  <c r="D36" i="9" s="1"/>
  <c r="D38" i="9" s="1"/>
  <c r="C45" i="9"/>
  <c r="E46" i="9"/>
  <c r="I74" i="9"/>
  <c r="I75" i="9"/>
  <c r="I73" i="9"/>
  <c r="F74" i="9"/>
  <c r="F75" i="9"/>
  <c r="J74" i="9"/>
  <c r="J75" i="9"/>
  <c r="C44" i="9"/>
  <c r="E45" i="9"/>
  <c r="E47" i="9"/>
  <c r="C48" i="9"/>
  <c r="F73" i="9"/>
  <c r="J73" i="9"/>
  <c r="G74" i="9"/>
  <c r="G75" i="9"/>
  <c r="K74" i="9"/>
  <c r="K75" i="9"/>
  <c r="G73" i="9"/>
  <c r="B6" i="3"/>
  <c r="G96" i="3"/>
  <c r="G95" i="3"/>
  <c r="E91" i="3"/>
  <c r="K91" i="3"/>
  <c r="J91" i="3"/>
  <c r="I91" i="3"/>
  <c r="H91" i="3"/>
  <c r="G91" i="3"/>
  <c r="F91" i="3"/>
  <c r="D91" i="3"/>
  <c r="E83" i="3"/>
  <c r="F83" i="3"/>
  <c r="G83" i="3"/>
  <c r="H83" i="3"/>
  <c r="I83" i="3"/>
  <c r="J83" i="3"/>
  <c r="K83" i="3"/>
  <c r="L83" i="3"/>
  <c r="P6" i="3"/>
  <c r="P78" i="3"/>
  <c r="K92" i="3"/>
  <c r="J92" i="3"/>
  <c r="I92" i="3"/>
  <c r="H92" i="3"/>
  <c r="G92" i="3"/>
  <c r="F92" i="3"/>
  <c r="E92" i="3"/>
  <c r="D92" i="3"/>
  <c r="B98" i="3"/>
  <c r="E100" i="3"/>
  <c r="B95" i="3"/>
  <c r="E96" i="3"/>
  <c r="B96" i="3"/>
  <c r="E95" i="3"/>
  <c r="B83" i="3"/>
  <c r="B79" i="3"/>
  <c r="E101" i="3"/>
  <c r="K89" i="3"/>
  <c r="R77" i="3"/>
  <c r="Q80" i="3"/>
  <c r="M90" i="3"/>
  <c r="M87" i="3"/>
  <c r="K96" i="3"/>
  <c r="I95" i="3"/>
  <c r="B91" i="3"/>
  <c r="J89" i="3"/>
  <c r="I89" i="3"/>
  <c r="G89" i="3"/>
  <c r="B86" i="3"/>
  <c r="D83" i="3"/>
  <c r="K82" i="3"/>
  <c r="J82" i="3"/>
  <c r="I82" i="3"/>
  <c r="H82" i="3"/>
  <c r="G82" i="3"/>
  <c r="F82" i="3"/>
  <c r="B82" i="3"/>
  <c r="B81" i="3"/>
  <c r="N88" i="3"/>
  <c r="P80" i="3"/>
  <c r="K95" i="3"/>
  <c r="I96" i="3"/>
  <c r="R79" i="3"/>
  <c r="F94" i="3"/>
  <c r="L100" i="3"/>
  <c r="C100" i="3"/>
  <c r="L104" i="3"/>
  <c r="L103" i="3"/>
  <c r="M89" i="3"/>
  <c r="K104" i="3"/>
  <c r="G104" i="3"/>
  <c r="K103" i="3"/>
  <c r="G103" i="3"/>
  <c r="I103" i="3"/>
  <c r="B101" i="3"/>
  <c r="E99" i="3"/>
  <c r="I104" i="3"/>
  <c r="Z69" i="3"/>
  <c r="Y69" i="3"/>
  <c r="Z68" i="3"/>
  <c r="Y68" i="3"/>
  <c r="Z67" i="3"/>
  <c r="Y67" i="3"/>
  <c r="Z66" i="3"/>
  <c r="Y66" i="3"/>
  <c r="Z65" i="3"/>
  <c r="Y65" i="3"/>
  <c r="Z64" i="3"/>
  <c r="Y64" i="3"/>
  <c r="Z63" i="3"/>
  <c r="Y63" i="3"/>
  <c r="W63" i="3"/>
  <c r="Z62" i="3"/>
  <c r="Y62" i="3"/>
  <c r="Z61" i="3"/>
  <c r="Y61" i="3"/>
  <c r="Z60" i="3"/>
  <c r="Y60" i="3"/>
  <c r="Z59" i="3"/>
  <c r="Y59" i="3"/>
  <c r="W59" i="3"/>
  <c r="Z58" i="3"/>
  <c r="Y58" i="3"/>
  <c r="W57" i="3"/>
  <c r="Z57" i="3"/>
  <c r="AB57" i="3"/>
  <c r="Y57" i="3"/>
  <c r="Z56" i="3"/>
  <c r="Y56" i="3"/>
  <c r="Z55" i="3"/>
  <c r="Y55" i="3"/>
  <c r="W55" i="3"/>
  <c r="Z54" i="3"/>
  <c r="Y54" i="3"/>
  <c r="W54" i="3"/>
  <c r="Z53" i="3"/>
  <c r="Y53" i="3"/>
  <c r="Z52" i="3"/>
  <c r="Y52" i="3"/>
  <c r="Z51" i="3"/>
  <c r="Y51" i="3"/>
  <c r="W51" i="3"/>
  <c r="AA51" i="3"/>
  <c r="Z50" i="3"/>
  <c r="Y50" i="3"/>
  <c r="K100" i="3"/>
  <c r="AA57" i="3"/>
  <c r="AB55" i="3"/>
  <c r="AB63" i="3"/>
  <c r="AA59" i="3"/>
  <c r="AA55" i="3"/>
  <c r="AA63" i="3"/>
  <c r="AB51" i="3"/>
  <c r="AA54" i="3"/>
  <c r="AB59" i="3"/>
  <c r="AB54" i="3"/>
  <c r="O222" i="2"/>
  <c r="K222" i="2"/>
  <c r="P73" i="3"/>
  <c r="Y203" i="3"/>
  <c r="Y201" i="3"/>
  <c r="Y199" i="3"/>
  <c r="Y197" i="3"/>
  <c r="Y195" i="3"/>
  <c r="Y193" i="3"/>
  <c r="Y191" i="3"/>
  <c r="Y189" i="3"/>
  <c r="Y187" i="3"/>
  <c r="Y185" i="3"/>
  <c r="Y183" i="3"/>
  <c r="Y181" i="3"/>
  <c r="Y179" i="3"/>
  <c r="Y177" i="3"/>
  <c r="Y175" i="3"/>
  <c r="Y173" i="3"/>
  <c r="Y171" i="3"/>
  <c r="Y169" i="3"/>
  <c r="Y167" i="3"/>
  <c r="Y165" i="3"/>
  <c r="Y163" i="3"/>
  <c r="Y161" i="3"/>
  <c r="Y159" i="3"/>
  <c r="Y157" i="3"/>
  <c r="Y155" i="3"/>
  <c r="Y153" i="3"/>
  <c r="Y151" i="3"/>
  <c r="Y149" i="3"/>
  <c r="Y147" i="3"/>
  <c r="Y145" i="3"/>
  <c r="Y143" i="3"/>
  <c r="Y141" i="3"/>
  <c r="Y139" i="3"/>
  <c r="Y137" i="3"/>
  <c r="Y135" i="3"/>
  <c r="Y133" i="3"/>
  <c r="Y131" i="3"/>
  <c r="Y129" i="3"/>
  <c r="Y127"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K118" i="3"/>
  <c r="J118" i="3"/>
  <c r="I118" i="3"/>
  <c r="H118" i="3"/>
  <c r="G118" i="3"/>
  <c r="F118" i="3"/>
  <c r="E118" i="3"/>
  <c r="L117" i="3"/>
  <c r="L116" i="3"/>
  <c r="L115" i="3"/>
  <c r="R114" i="3"/>
  <c r="Q114" i="3"/>
  <c r="L114" i="3"/>
  <c r="R113" i="3"/>
  <c r="Q113" i="3"/>
  <c r="R112" i="3"/>
  <c r="Q112" i="3"/>
  <c r="R111" i="3"/>
  <c r="Q111" i="3"/>
  <c r="R110" i="3"/>
  <c r="Q110" i="3"/>
  <c r="R109" i="3"/>
  <c r="Q109" i="3"/>
  <c r="Q107" i="3"/>
  <c r="Q106" i="3"/>
  <c r="Q105" i="3"/>
  <c r="Q104" i="3"/>
  <c r="Q102" i="3"/>
  <c r="Q101" i="3"/>
  <c r="Q100" i="3"/>
  <c r="Q99" i="3"/>
  <c r="R96" i="3"/>
  <c r="M95" i="3"/>
  <c r="R94" i="3"/>
  <c r="M94" i="3"/>
  <c r="R91" i="3"/>
  <c r="R89" i="3"/>
  <c r="R84" i="3"/>
  <c r="P85" i="3"/>
  <c r="O84" i="3"/>
  <c r="P83" i="3"/>
  <c r="M83" i="3"/>
  <c r="B78" i="3"/>
  <c r="L76" i="3"/>
  <c r="K76" i="3"/>
  <c r="J76" i="3"/>
  <c r="I76" i="3"/>
  <c r="H76" i="3"/>
  <c r="G76" i="3"/>
  <c r="F76" i="3"/>
  <c r="E76" i="3"/>
  <c r="D76" i="3"/>
  <c r="B75" i="3"/>
  <c r="B72" i="3"/>
  <c r="M71" i="3"/>
  <c r="S69" i="3"/>
  <c r="W69" i="3"/>
  <c r="S67" i="3"/>
  <c r="W67" i="3"/>
  <c r="I67" i="3"/>
  <c r="G67" i="3"/>
  <c r="S66" i="3"/>
  <c r="W66" i="3"/>
  <c r="B66" i="3"/>
  <c r="M65" i="3"/>
  <c r="E65" i="3"/>
  <c r="S64" i="3"/>
  <c r="W64" i="3"/>
  <c r="M63" i="3"/>
  <c r="S62" i="3"/>
  <c r="W62" i="3"/>
  <c r="M62" i="3"/>
  <c r="S61" i="3"/>
  <c r="W61" i="3"/>
  <c r="S60" i="3"/>
  <c r="W60" i="3"/>
  <c r="S58" i="3"/>
  <c r="W58" i="3"/>
  <c r="S56" i="3"/>
  <c r="W56" i="3"/>
  <c r="L54" i="3"/>
  <c r="K54" i="3"/>
  <c r="J54" i="3"/>
  <c r="I54" i="3"/>
  <c r="H54" i="3"/>
  <c r="G54" i="3"/>
  <c r="F54" i="3"/>
  <c r="E54" i="3"/>
  <c r="D54" i="3"/>
  <c r="B54" i="3"/>
  <c r="S53" i="3"/>
  <c r="W53" i="3"/>
  <c r="B53" i="3"/>
  <c r="S52" i="3"/>
  <c r="W52" i="3"/>
  <c r="S50" i="3"/>
  <c r="W50" i="3"/>
  <c r="R49" i="3"/>
  <c r="P49" i="3"/>
  <c r="B49" i="3"/>
  <c r="C44" i="3"/>
  <c r="C43" i="3"/>
  <c r="C42" i="3"/>
  <c r="P41" i="3"/>
  <c r="O41" i="3"/>
  <c r="N41" i="3"/>
  <c r="M41" i="3"/>
  <c r="C41" i="3"/>
  <c r="Z40" i="3"/>
  <c r="Y40" i="3"/>
  <c r="X40" i="3"/>
  <c r="W40" i="3"/>
  <c r="Q40" i="3" s="1"/>
  <c r="R40" i="3" s="1"/>
  <c r="C40" i="3"/>
  <c r="Z39" i="3"/>
  <c r="Y39" i="3"/>
  <c r="X39" i="3"/>
  <c r="W39" i="3"/>
  <c r="Q39" i="3"/>
  <c r="R39" i="3" s="1"/>
  <c r="C39" i="3"/>
  <c r="Z38" i="3"/>
  <c r="Y38" i="3"/>
  <c r="X38" i="3"/>
  <c r="W38" i="3"/>
  <c r="Q38" i="3" s="1"/>
  <c r="R38" i="3" s="1"/>
  <c r="C38" i="3"/>
  <c r="Z37" i="3"/>
  <c r="Y37" i="3"/>
  <c r="X37" i="3"/>
  <c r="W37" i="3"/>
  <c r="Q37" i="3" s="1"/>
  <c r="R37" i="3" s="1"/>
  <c r="C37" i="3"/>
  <c r="Y36" i="3"/>
  <c r="X36" i="3"/>
  <c r="C36" i="3"/>
  <c r="C35" i="3"/>
  <c r="Z34" i="3"/>
  <c r="C34" i="3"/>
  <c r="C33" i="3"/>
  <c r="Z32" i="3"/>
  <c r="C32" i="3"/>
  <c r="Z31" i="3"/>
  <c r="C31" i="3"/>
  <c r="N30" i="3"/>
  <c r="C30" i="3"/>
  <c r="C29" i="3"/>
  <c r="C28" i="3"/>
  <c r="C27" i="3"/>
  <c r="C26" i="3"/>
  <c r="C25" i="3"/>
  <c r="C24" i="3"/>
  <c r="C23" i="3"/>
  <c r="C22" i="3"/>
  <c r="C21" i="3"/>
  <c r="C20" i="3"/>
  <c r="C19" i="3"/>
  <c r="B19" i="3"/>
  <c r="B20" i="3"/>
  <c r="B21" i="3"/>
  <c r="B22" i="3"/>
  <c r="B23" i="3"/>
  <c r="B24" i="3"/>
  <c r="B25" i="3"/>
  <c r="B26" i="3"/>
  <c r="B27" i="3"/>
  <c r="B28" i="3"/>
  <c r="B29" i="3"/>
  <c r="B30" i="3"/>
  <c r="B31" i="3"/>
  <c r="B32" i="3"/>
  <c r="B33" i="3"/>
  <c r="B34" i="3"/>
  <c r="B35" i="3"/>
  <c r="B36" i="3"/>
  <c r="B37" i="3"/>
  <c r="B38" i="3"/>
  <c r="B39" i="3"/>
  <c r="B40" i="3"/>
  <c r="B41" i="3"/>
  <c r="B42" i="3"/>
  <c r="B43" i="3"/>
  <c r="B44" i="3"/>
  <c r="G13" i="3"/>
  <c r="G12" i="3"/>
  <c r="D13" i="3"/>
  <c r="D12" i="3" s="1"/>
  <c r="S9" i="3"/>
  <c r="F8" i="3"/>
  <c r="R9" i="3"/>
  <c r="K9" i="3"/>
  <c r="K8" i="3"/>
  <c r="S8" i="3"/>
  <c r="Q8" i="3"/>
  <c r="P8" i="3"/>
  <c r="O8" i="3"/>
  <c r="N8" i="3"/>
  <c r="M8" i="3"/>
  <c r="L8" i="3"/>
  <c r="J8" i="3"/>
  <c r="S68" i="3"/>
  <c r="W68" i="3"/>
  <c r="O6" i="3"/>
  <c r="E5" i="3"/>
  <c r="P5" i="3" s="1"/>
  <c r="P4" i="3"/>
  <c r="P3" i="3"/>
  <c r="B3" i="3"/>
  <c r="B2" i="3"/>
  <c r="AA67" i="3"/>
  <c r="AB67" i="3"/>
  <c r="AA69" i="3"/>
  <c r="AB69" i="3"/>
  <c r="AA50" i="3"/>
  <c r="AB50" i="3"/>
  <c r="AB60" i="3"/>
  <c r="AA60" i="3"/>
  <c r="AA68" i="3"/>
  <c r="G100" i="3"/>
  <c r="I100" i="3"/>
  <c r="AB68" i="3"/>
  <c r="AB52" i="3"/>
  <c r="AA52" i="3"/>
  <c r="AA61" i="3"/>
  <c r="AB61" i="3"/>
  <c r="AA64" i="3"/>
  <c r="AB64" i="3"/>
  <c r="AB66" i="3"/>
  <c r="AA66" i="3"/>
  <c r="E111" i="3"/>
  <c r="AA53" i="3"/>
  <c r="AB53" i="3"/>
  <c r="AA58" i="3"/>
  <c r="AB58" i="3"/>
  <c r="AA62" i="3"/>
  <c r="AB62" i="3"/>
  <c r="AB56" i="3"/>
  <c r="AA56" i="3"/>
  <c r="M64" i="3"/>
  <c r="M117" i="3"/>
  <c r="D8" i="3"/>
  <c r="K111" i="3"/>
  <c r="F111" i="3"/>
  <c r="L118" i="3"/>
  <c r="M111" i="3"/>
  <c r="S65" i="3"/>
  <c r="W65" i="3"/>
  <c r="L110" i="3"/>
  <c r="G111" i="3"/>
  <c r="H111" i="3"/>
  <c r="I111" i="3"/>
  <c r="J111" i="3"/>
  <c r="L112" i="3"/>
  <c r="L111" i="3"/>
  <c r="L113" i="3"/>
  <c r="L109" i="3"/>
  <c r="AA65" i="3"/>
  <c r="AB65" i="3"/>
  <c r="R72" i="3"/>
  <c r="M114" i="3"/>
  <c r="O94" i="3"/>
  <c r="O102" i="3"/>
  <c r="R74" i="3"/>
  <c r="R4" i="3"/>
  <c r="O67" i="3"/>
  <c r="P67" i="3" s="1"/>
  <c r="N16" i="3"/>
  <c r="O64" i="3"/>
  <c r="P64" i="3" s="1"/>
  <c r="O52" i="3"/>
  <c r="P52" i="3" s="1"/>
  <c r="O55" i="3"/>
  <c r="P55" i="3" s="1"/>
  <c r="O66" i="3"/>
  <c r="P66" i="3" s="1"/>
  <c r="X66" i="3"/>
  <c r="X64" i="3"/>
  <c r="Z33" i="3" l="1"/>
  <c r="Z36" i="3"/>
  <c r="K67" i="3"/>
  <c r="E48" i="9"/>
  <c r="D9" i="10"/>
  <c r="E13" i="3"/>
  <c r="E12" i="3" s="1"/>
  <c r="J67" i="3"/>
  <c r="C49" i="9"/>
  <c r="F13" i="3"/>
  <c r="F12" i="3" s="1"/>
  <c r="L67" i="3"/>
  <c r="C73" i="3"/>
  <c r="E49" i="9"/>
  <c r="C47" i="9"/>
  <c r="D23" i="9"/>
  <c r="C46" i="9"/>
  <c r="C43" i="9"/>
  <c r="E9" i="9" s="1"/>
  <c r="H11" i="9"/>
  <c r="H19" i="9"/>
  <c r="F21" i="9"/>
  <c r="G27" i="9"/>
  <c r="H7" i="9"/>
  <c r="E11" i="9"/>
  <c r="D33" i="9"/>
  <c r="H25" i="9"/>
  <c r="H49" i="9"/>
  <c r="H46" i="9"/>
  <c r="I13" i="9"/>
  <c r="E17" i="9"/>
  <c r="H13" i="9"/>
  <c r="I21" i="9"/>
  <c r="H21" i="9"/>
  <c r="H15" i="9"/>
  <c r="D7" i="9"/>
  <c r="D11" i="9" s="1"/>
  <c r="D15" i="9" s="1"/>
  <c r="B76" i="9"/>
  <c r="E4" i="9"/>
  <c r="D29" i="9"/>
  <c r="D37" i="9"/>
  <c r="F5" i="9"/>
  <c r="D9" i="9"/>
  <c r="H17" i="9"/>
  <c r="H23" i="9"/>
  <c r="F7" i="9"/>
  <c r="F11" i="9" s="1"/>
  <c r="F13" i="9" s="1"/>
  <c r="K76" i="9"/>
  <c r="K77" i="9" s="1"/>
  <c r="F76" i="9"/>
  <c r="F77" i="9" s="1"/>
  <c r="H76" i="9"/>
  <c r="H77" i="9" s="1"/>
  <c r="I76" i="9"/>
  <c r="I77" i="9" s="1"/>
  <c r="G76" i="9"/>
  <c r="G77" i="9" s="1"/>
  <c r="F15" i="9"/>
  <c r="L101" i="3"/>
  <c r="D9" i="3"/>
  <c r="K101" i="3" s="1"/>
  <c r="O69" i="3"/>
  <c r="P69" i="3" s="1"/>
  <c r="L16" i="3"/>
  <c r="L14" i="3" s="1"/>
  <c r="O63" i="3"/>
  <c r="Q63" i="3" s="1"/>
  <c r="R63" i="3" s="1"/>
  <c r="O61" i="3"/>
  <c r="P61" i="3" s="1"/>
  <c r="D77" i="3"/>
  <c r="P16" i="3"/>
  <c r="P14" i="3" s="1"/>
  <c r="O58" i="3"/>
  <c r="P58" i="3" s="1"/>
  <c r="M10" i="3"/>
  <c r="M11" i="3" s="1"/>
  <c r="M13" i="3" s="1"/>
  <c r="M12" i="3" s="1"/>
  <c r="N14" i="3"/>
  <c r="O51" i="3"/>
  <c r="P51" i="3" s="1"/>
  <c r="O54" i="3"/>
  <c r="R16" i="3"/>
  <c r="R14" i="3" s="1"/>
  <c r="O65" i="3"/>
  <c r="P65" i="3" s="1"/>
  <c r="O62" i="3"/>
  <c r="N10" i="3"/>
  <c r="N11" i="3" s="1"/>
  <c r="N13" i="3" s="1"/>
  <c r="N12" i="3" s="1"/>
  <c r="O10" i="3"/>
  <c r="O11" i="3" s="1"/>
  <c r="O13" i="3" s="1"/>
  <c r="O12" i="3" s="1"/>
  <c r="O68" i="3"/>
  <c r="P68" i="3" s="1"/>
  <c r="X55" i="3"/>
  <c r="J16" i="3"/>
  <c r="J10" i="3" s="1"/>
  <c r="J11" i="3" s="1"/>
  <c r="O16" i="3"/>
  <c r="O14" i="3" s="1"/>
  <c r="X67" i="3"/>
  <c r="H33" i="9"/>
  <c r="E39" i="9"/>
  <c r="I29" i="9"/>
  <c r="I7" i="9"/>
  <c r="B12" i="10"/>
  <c r="B8" i="10"/>
  <c r="C11" i="10"/>
  <c r="B13" i="10"/>
  <c r="S16" i="3"/>
  <c r="S14" i="3" s="1"/>
  <c r="S15" i="3" s="1"/>
  <c r="O59" i="3"/>
  <c r="Q59" i="3" s="1"/>
  <c r="R59" i="3" s="1"/>
  <c r="O50" i="3"/>
  <c r="P50" i="3" s="1"/>
  <c r="O53" i="3"/>
  <c r="P53" i="3" s="1"/>
  <c r="D21" i="9"/>
  <c r="E13" i="9"/>
  <c r="G37" i="9"/>
  <c r="D39" i="9"/>
  <c r="H39" i="9"/>
  <c r="E35" i="9"/>
  <c r="D25" i="9"/>
  <c r="D19" i="9"/>
  <c r="G31" i="9"/>
  <c r="G35" i="9" s="1"/>
  <c r="E15" i="9"/>
  <c r="F23" i="9"/>
  <c r="X50" i="3"/>
  <c r="O57" i="3"/>
  <c r="O60" i="3"/>
  <c r="Q60" i="3" s="1"/>
  <c r="R60" i="3" s="1"/>
  <c r="K16" i="3"/>
  <c r="K10" i="3" s="1"/>
  <c r="K11" i="3" s="1"/>
  <c r="K13" i="3" s="1"/>
  <c r="K12" i="3" s="1"/>
  <c r="O56" i="3"/>
  <c r="P56" i="3" s="1"/>
  <c r="G39" i="9"/>
  <c r="H5" i="9"/>
  <c r="G45" i="9"/>
  <c r="O74" i="3"/>
  <c r="M75" i="3" s="1"/>
  <c r="Q16" i="3"/>
  <c r="Q10" i="3" s="1"/>
  <c r="Q11" i="3" s="1"/>
  <c r="Q13" i="3" s="1"/>
  <c r="Q12" i="3" s="1"/>
  <c r="X52" i="3"/>
  <c r="M14" i="3"/>
  <c r="H9" i="9"/>
  <c r="H29" i="9"/>
  <c r="B11" i="10"/>
  <c r="Q52" i="3"/>
  <c r="R52" i="3" s="1"/>
  <c r="R76" i="3"/>
  <c r="M74" i="3"/>
  <c r="H89" i="3"/>
  <c r="P48" i="3"/>
  <c r="Q58" i="3"/>
  <c r="R58" i="3" s="1"/>
  <c r="Q61" i="3"/>
  <c r="R61" i="3" s="1"/>
  <c r="Q50" i="3"/>
  <c r="R50" i="3" s="1"/>
  <c r="Q67" i="3"/>
  <c r="R67" i="3" s="1"/>
  <c r="R75" i="3"/>
  <c r="R5" i="3" s="1"/>
  <c r="I5" i="3" s="1"/>
  <c r="Q75" i="3"/>
  <c r="B18" i="8"/>
  <c r="E82" i="3"/>
  <c r="Q62" i="3"/>
  <c r="R62" i="3" s="1"/>
  <c r="N48" i="3"/>
  <c r="Q51" i="3"/>
  <c r="R51" i="3" s="1"/>
  <c r="Q66" i="3"/>
  <c r="R66" i="3" s="1"/>
  <c r="Q65" i="3"/>
  <c r="R65" i="3" s="1"/>
  <c r="Q55" i="3"/>
  <c r="R55" i="3" s="1"/>
  <c r="Q64" i="3"/>
  <c r="R64" i="3" s="1"/>
  <c r="Q53" i="3"/>
  <c r="R53" i="3" s="1"/>
  <c r="Q56" i="3"/>
  <c r="R56" i="3" s="1"/>
  <c r="J71" i="3" l="1"/>
  <c r="L71" i="3"/>
  <c r="H71" i="3"/>
  <c r="G71" i="3"/>
  <c r="K71" i="3"/>
  <c r="F71" i="3"/>
  <c r="I71" i="3"/>
  <c r="X65" i="3"/>
  <c r="X56" i="3"/>
  <c r="L10" i="3"/>
  <c r="L11" i="3" s="1"/>
  <c r="L13" i="3" s="1"/>
  <c r="L12" i="3" s="1"/>
  <c r="X53" i="3"/>
  <c r="X58" i="3"/>
  <c r="Q14" i="3"/>
  <c r="P10" i="3"/>
  <c r="P11" i="3" s="1"/>
  <c r="P13" i="3" s="1"/>
  <c r="P12" i="3" s="1"/>
  <c r="I6" i="3"/>
  <c r="B55" i="3" s="1"/>
  <c r="I55" i="3" s="1"/>
  <c r="F4" i="9"/>
  <c r="E6" i="9"/>
  <c r="E8" i="9" s="1"/>
  <c r="E10" i="9" s="1"/>
  <c r="E12" i="9" s="1"/>
  <c r="E14" i="9" s="1"/>
  <c r="E16" i="9" s="1"/>
  <c r="E18" i="9" s="1"/>
  <c r="E20" i="9" s="1"/>
  <c r="E22" i="9" s="1"/>
  <c r="E24" i="9" s="1"/>
  <c r="E26" i="9" s="1"/>
  <c r="E28" i="9" s="1"/>
  <c r="E30" i="9" s="1"/>
  <c r="E32" i="9" s="1"/>
  <c r="E34" i="9" s="1"/>
  <c r="E36" i="9" s="1"/>
  <c r="E38" i="9" s="1"/>
  <c r="O15" i="3"/>
  <c r="J13" i="3"/>
  <c r="J12" i="3" s="1"/>
  <c r="I11" i="3"/>
  <c r="I13" i="3" s="1"/>
  <c r="I12" i="3" s="1"/>
  <c r="H11" i="3"/>
  <c r="H13" i="3" s="1"/>
  <c r="H12" i="3" s="1"/>
  <c r="X57" i="3"/>
  <c r="P57" i="3"/>
  <c r="J58" i="3"/>
  <c r="K58" i="3"/>
  <c r="R15" i="3"/>
  <c r="I58" i="3" s="1"/>
  <c r="F58" i="3"/>
  <c r="G58" i="3"/>
  <c r="X69" i="3"/>
  <c r="Q68" i="3"/>
  <c r="R68" i="3" s="1"/>
  <c r="D14" i="3"/>
  <c r="P15" i="3"/>
  <c r="E59" i="3" s="1"/>
  <c r="K14" i="3"/>
  <c r="N15" i="3"/>
  <c r="D60" i="3" s="1"/>
  <c r="E60" i="3"/>
  <c r="J60" i="3"/>
  <c r="F60" i="3"/>
  <c r="O83" i="3"/>
  <c r="O82" i="3" s="1"/>
  <c r="O100" i="3" s="1"/>
  <c r="S10" i="3"/>
  <c r="S11" i="3" s="1"/>
  <c r="S13" i="3" s="1"/>
  <c r="S12" i="3" s="1"/>
  <c r="R10" i="3"/>
  <c r="R11" i="3" s="1"/>
  <c r="R13" i="3" s="1"/>
  <c r="R12" i="3" s="1"/>
  <c r="P63" i="3"/>
  <c r="X63" i="3"/>
  <c r="L15" i="3"/>
  <c r="M15" i="3"/>
  <c r="X51" i="3"/>
  <c r="J14" i="3"/>
  <c r="P62" i="3"/>
  <c r="X62" i="3"/>
  <c r="J77" i="3"/>
  <c r="J78" i="3" s="1"/>
  <c r="E77" i="3"/>
  <c r="L77" i="3"/>
  <c r="E78" i="3"/>
  <c r="G77" i="3"/>
  <c r="G78" i="3" s="1"/>
  <c r="K77" i="3"/>
  <c r="K78" i="3" s="1"/>
  <c r="D78" i="3"/>
  <c r="L78" i="3"/>
  <c r="H77" i="3"/>
  <c r="H78" i="3" s="1"/>
  <c r="F77" i="3"/>
  <c r="F78" i="3" s="1"/>
  <c r="I77" i="3"/>
  <c r="I78" i="3" s="1"/>
  <c r="D84" i="3"/>
  <c r="D85" i="3" s="1"/>
  <c r="D86" i="3" s="1"/>
  <c r="I84" i="3"/>
  <c r="I85" i="3" s="1"/>
  <c r="I86" i="3" s="1"/>
  <c r="G84" i="3"/>
  <c r="G85" i="3" s="1"/>
  <c r="G86" i="3" s="1"/>
  <c r="I35" i="9"/>
  <c r="I5" i="9"/>
  <c r="I15" i="9" s="1"/>
  <c r="E19" i="9" s="1"/>
  <c r="G33" i="9"/>
  <c r="I33" i="9"/>
  <c r="F17" i="9"/>
  <c r="I25" i="9"/>
  <c r="I11" i="9"/>
  <c r="G25" i="9"/>
  <c r="G29" i="9" s="1"/>
  <c r="I19" i="9"/>
  <c r="E27" i="9"/>
  <c r="I37" i="9"/>
  <c r="I17" i="9"/>
  <c r="E31" i="9"/>
  <c r="E21" i="9"/>
  <c r="I9" i="9"/>
  <c r="I27" i="9"/>
  <c r="I31" i="9" s="1"/>
  <c r="I23" i="9"/>
  <c r="P54" i="3"/>
  <c r="X54" i="3"/>
  <c r="Q57" i="3"/>
  <c r="R57" i="3" s="1"/>
  <c r="Q69" i="3"/>
  <c r="R69" i="3" s="1"/>
  <c r="Q54" i="3"/>
  <c r="R54" i="3" s="1"/>
  <c r="Q18" i="3"/>
  <c r="Q15" i="3"/>
  <c r="X68" i="3"/>
  <c r="P60" i="3"/>
  <c r="X60" i="3"/>
  <c r="P59" i="3"/>
  <c r="X59" i="3"/>
  <c r="X61" i="3"/>
  <c r="C19" i="8"/>
  <c r="C20" i="8"/>
  <c r="R78" i="3"/>
  <c r="G14" i="3" l="1"/>
  <c r="Y32" i="3"/>
  <c r="N89" i="3"/>
  <c r="B47" i="3"/>
  <c r="B56" i="3"/>
  <c r="F56" i="3" s="1"/>
  <c r="F55" i="3"/>
  <c r="Y35" i="3"/>
  <c r="L84" i="3"/>
  <c r="L85" i="3" s="1"/>
  <c r="L86" i="3" s="1"/>
  <c r="H55" i="3"/>
  <c r="E55" i="3"/>
  <c r="L6" i="3"/>
  <c r="X31" i="3"/>
  <c r="W35" i="3"/>
  <c r="Q35" i="3" s="1"/>
  <c r="R35" i="3" s="1"/>
  <c r="Y34" i="3"/>
  <c r="X34" i="3"/>
  <c r="F14" i="3"/>
  <c r="F18" i="3" s="1"/>
  <c r="E58" i="3"/>
  <c r="G55" i="3"/>
  <c r="J84" i="3"/>
  <c r="J85" i="3" s="1"/>
  <c r="J86" i="3" s="1"/>
  <c r="F84" i="3"/>
  <c r="F85" i="3" s="1"/>
  <c r="F86" i="3" s="1"/>
  <c r="E84" i="3"/>
  <c r="E85" i="3" s="1"/>
  <c r="E86" i="3" s="1"/>
  <c r="W31" i="3"/>
  <c r="Q31" i="3" s="1"/>
  <c r="R31" i="3" s="1"/>
  <c r="N18" i="3"/>
  <c r="N21" i="3" s="1"/>
  <c r="R18" i="3"/>
  <c r="R20" i="3" s="1"/>
  <c r="W34" i="3"/>
  <c r="Q34" i="3" s="1"/>
  <c r="R34" i="3" s="1"/>
  <c r="W36" i="3"/>
  <c r="Q36" i="3" s="1"/>
  <c r="R36" i="3" s="1"/>
  <c r="X35" i="3"/>
  <c r="X32" i="3"/>
  <c r="X33" i="3"/>
  <c r="K84" i="3"/>
  <c r="K85" i="3" s="1"/>
  <c r="K86" i="3" s="1"/>
  <c r="M18" i="3"/>
  <c r="B57" i="3"/>
  <c r="J57" i="3" s="1"/>
  <c r="K55" i="3"/>
  <c r="O18" i="3"/>
  <c r="E14" i="3"/>
  <c r="Y33" i="3"/>
  <c r="Y31" i="3"/>
  <c r="W32" i="3"/>
  <c r="Q32" i="3" s="1"/>
  <c r="R32" i="3" s="1"/>
  <c r="P18" i="3"/>
  <c r="D55" i="3"/>
  <c r="W33" i="3"/>
  <c r="Q33" i="3" s="1"/>
  <c r="R33" i="3" s="1"/>
  <c r="G101" i="3"/>
  <c r="H84" i="3"/>
  <c r="H85" i="3" s="1"/>
  <c r="H86" i="3" s="1"/>
  <c r="L18" i="3"/>
  <c r="L27" i="3" s="1"/>
  <c r="L55" i="3"/>
  <c r="H58" i="3"/>
  <c r="G60" i="3"/>
  <c r="F59" i="3"/>
  <c r="H60" i="3"/>
  <c r="L60" i="3"/>
  <c r="J55" i="3"/>
  <c r="F66" i="3"/>
  <c r="I60" i="3"/>
  <c r="L58" i="3"/>
  <c r="G4" i="9"/>
  <c r="F6" i="9"/>
  <c r="F8" i="9" s="1"/>
  <c r="F10" i="9" s="1"/>
  <c r="F12" i="9" s="1"/>
  <c r="F14" i="9" s="1"/>
  <c r="F16" i="9" s="1"/>
  <c r="F18" i="9" s="1"/>
  <c r="F20" i="9" s="1"/>
  <c r="F22" i="9" s="1"/>
  <c r="F24" i="9" s="1"/>
  <c r="F26" i="9" s="1"/>
  <c r="F28" i="9" s="1"/>
  <c r="F30" i="9" s="1"/>
  <c r="F32" i="9" s="1"/>
  <c r="F34" i="9" s="1"/>
  <c r="F36" i="9" s="1"/>
  <c r="F38" i="9" s="1"/>
  <c r="O90" i="3"/>
  <c r="O95" i="3" s="1"/>
  <c r="G56" i="3"/>
  <c r="Q21" i="3"/>
  <c r="Q22" i="3"/>
  <c r="Q23" i="3"/>
  <c r="Q20" i="3"/>
  <c r="Q19" i="3"/>
  <c r="N22" i="3"/>
  <c r="N23" i="3"/>
  <c r="N20" i="3"/>
  <c r="N24" i="3"/>
  <c r="N25" i="3"/>
  <c r="N19" i="3"/>
  <c r="B9" i="8"/>
  <c r="B59" i="3"/>
  <c r="B9" i="10"/>
  <c r="K18" i="3"/>
  <c r="K15" i="3"/>
  <c r="I66" i="3" s="1"/>
  <c r="D59" i="3"/>
  <c r="G59" i="3"/>
  <c r="L56" i="3"/>
  <c r="B10" i="8"/>
  <c r="H47" i="9" s="1"/>
  <c r="B10" i="10"/>
  <c r="I101" i="3"/>
  <c r="G102" i="3"/>
  <c r="I102" i="3" s="1"/>
  <c r="E18" i="3"/>
  <c r="E15" i="3"/>
  <c r="I59" i="3"/>
  <c r="I73" i="3"/>
  <c r="M6" i="3"/>
  <c r="D49" i="3"/>
  <c r="M25" i="3"/>
  <c r="M21" i="3"/>
  <c r="M24" i="3"/>
  <c r="M23" i="3"/>
  <c r="M22" i="3"/>
  <c r="M19" i="3"/>
  <c r="M20" i="3"/>
  <c r="M26" i="3"/>
  <c r="K60" i="3"/>
  <c r="H59" i="3"/>
  <c r="J59" i="3"/>
  <c r="E66" i="3"/>
  <c r="B58" i="3"/>
  <c r="E56" i="3"/>
  <c r="G18" i="3"/>
  <c r="G15" i="3"/>
  <c r="I14" i="3"/>
  <c r="H14" i="3"/>
  <c r="J18" i="3"/>
  <c r="K66" i="3"/>
  <c r="J15" i="3"/>
  <c r="L66" i="3"/>
  <c r="L59" i="3"/>
  <c r="K59" i="3"/>
  <c r="K56" i="3"/>
  <c r="H56" i="3"/>
  <c r="D56" i="3"/>
  <c r="G66" i="3"/>
  <c r="L20" i="3"/>
  <c r="L26" i="3"/>
  <c r="L28" i="3"/>
  <c r="L24" i="3"/>
  <c r="L22" i="3"/>
  <c r="L25" i="3"/>
  <c r="L23" i="3"/>
  <c r="L21" i="3"/>
  <c r="L19" i="3"/>
  <c r="B14" i="10"/>
  <c r="B60" i="3"/>
  <c r="H66" i="3"/>
  <c r="B14" i="8"/>
  <c r="P19" i="3"/>
  <c r="P20" i="3"/>
  <c r="P22" i="3"/>
  <c r="P23" i="3"/>
  <c r="P21" i="3"/>
  <c r="D15" i="3"/>
  <c r="D18" i="3"/>
  <c r="J56" i="3"/>
  <c r="I56" i="3"/>
  <c r="D58" i="3"/>
  <c r="O22" i="3"/>
  <c r="O20" i="3"/>
  <c r="O19" i="3"/>
  <c r="O24" i="3"/>
  <c r="O21" i="3"/>
  <c r="O23" i="3"/>
  <c r="R6" i="3"/>
  <c r="R80" i="3"/>
  <c r="D20" i="8"/>
  <c r="F20" i="8"/>
  <c r="D19" i="8"/>
  <c r="F19" i="8"/>
  <c r="R41" i="3" l="1"/>
  <c r="F57" i="3"/>
  <c r="G57" i="3"/>
  <c r="F15" i="3"/>
  <c r="R22" i="3"/>
  <c r="H57" i="3"/>
  <c r="E57" i="3"/>
  <c r="D57" i="3"/>
  <c r="I57" i="3"/>
  <c r="L57" i="3"/>
  <c r="R19" i="3"/>
  <c r="R21" i="3"/>
  <c r="K57" i="3"/>
  <c r="O87" i="3"/>
  <c r="O101" i="3" s="1"/>
  <c r="O103" i="3" s="1"/>
  <c r="H4" i="9"/>
  <c r="G6" i="9"/>
  <c r="G8" i="9" s="1"/>
  <c r="G10" i="9" s="1"/>
  <c r="G12" i="9" s="1"/>
  <c r="G14" i="9" s="1"/>
  <c r="G16" i="9" s="1"/>
  <c r="G18" i="9" s="1"/>
  <c r="G20" i="9" s="1"/>
  <c r="G22" i="9" s="1"/>
  <c r="G24" i="9" s="1"/>
  <c r="G26" i="9" s="1"/>
  <c r="G28" i="9" s="1"/>
  <c r="G30" i="9" s="1"/>
  <c r="G32" i="9" s="1"/>
  <c r="G34" i="9" s="1"/>
  <c r="G36" i="9" s="1"/>
  <c r="G38" i="9" s="1"/>
  <c r="L102" i="3"/>
  <c r="K102" i="3" s="1"/>
  <c r="H50" i="9"/>
  <c r="G50" i="9"/>
  <c r="L72" i="3"/>
  <c r="K72" i="3"/>
  <c r="H72" i="3"/>
  <c r="F72" i="3"/>
  <c r="J72" i="3"/>
  <c r="I72" i="3"/>
  <c r="G72" i="3"/>
  <c r="I15" i="3"/>
  <c r="I18" i="3"/>
  <c r="G40" i="3"/>
  <c r="G25" i="3"/>
  <c r="G30" i="3"/>
  <c r="G36" i="3"/>
  <c r="G39" i="3"/>
  <c r="G41" i="3"/>
  <c r="G38" i="3"/>
  <c r="G37" i="3"/>
  <c r="G20" i="3"/>
  <c r="G23" i="3"/>
  <c r="G29" i="3"/>
  <c r="G44" i="3"/>
  <c r="G24" i="3"/>
  <c r="G35" i="3"/>
  <c r="G31" i="3"/>
  <c r="G27" i="3"/>
  <c r="G26" i="3"/>
  <c r="G42" i="3"/>
  <c r="G19" i="3"/>
  <c r="G32" i="3"/>
  <c r="G21" i="3"/>
  <c r="G34" i="3"/>
  <c r="G28" i="3"/>
  <c r="G22" i="3"/>
  <c r="G33" i="3"/>
  <c r="G43" i="3"/>
  <c r="D29" i="3"/>
  <c r="D37" i="3"/>
  <c r="D40" i="3"/>
  <c r="D43" i="3"/>
  <c r="D30" i="3"/>
  <c r="D42" i="3"/>
  <c r="D20" i="3"/>
  <c r="D27" i="3"/>
  <c r="D28" i="3"/>
  <c r="D26" i="3"/>
  <c r="D25" i="3"/>
  <c r="D39" i="3"/>
  <c r="D23" i="3"/>
  <c r="D34" i="3"/>
  <c r="D24" i="3"/>
  <c r="D31" i="3"/>
  <c r="D35" i="3"/>
  <c r="D33" i="3"/>
  <c r="D21" i="3"/>
  <c r="D19" i="3"/>
  <c r="D22" i="3"/>
  <c r="D32" i="3"/>
  <c r="D38" i="3"/>
  <c r="D44" i="3"/>
  <c r="D41" i="3"/>
  <c r="D36" i="3"/>
  <c r="J24" i="3"/>
  <c r="J39" i="3"/>
  <c r="J30" i="3"/>
  <c r="J25" i="3"/>
  <c r="J36" i="3"/>
  <c r="J19" i="3"/>
  <c r="J28" i="3"/>
  <c r="J42" i="3"/>
  <c r="J20" i="3"/>
  <c r="J40" i="3"/>
  <c r="J41" i="3"/>
  <c r="J27" i="3"/>
  <c r="J22" i="3"/>
  <c r="J34" i="3"/>
  <c r="J21" i="3"/>
  <c r="J37" i="3"/>
  <c r="J44" i="3"/>
  <c r="J26" i="3"/>
  <c r="J31" i="3"/>
  <c r="J29" i="3"/>
  <c r="J23" i="3"/>
  <c r="J35" i="3"/>
  <c r="J43" i="3"/>
  <c r="J38" i="3"/>
  <c r="J32" i="3"/>
  <c r="J33" i="3"/>
  <c r="F41" i="3"/>
  <c r="F43" i="3"/>
  <c r="F38" i="3"/>
  <c r="F21" i="3"/>
  <c r="F40" i="3"/>
  <c r="F36" i="3"/>
  <c r="F25" i="3"/>
  <c r="F29" i="3"/>
  <c r="F39" i="3"/>
  <c r="F32" i="3"/>
  <c r="F27" i="3"/>
  <c r="F35" i="3"/>
  <c r="F33" i="3"/>
  <c r="F34" i="3"/>
  <c r="F24" i="3"/>
  <c r="F44" i="3"/>
  <c r="F37" i="3"/>
  <c r="F20" i="3"/>
  <c r="F42" i="3"/>
  <c r="F28" i="3"/>
  <c r="F23" i="3"/>
  <c r="F22" i="3"/>
  <c r="F26" i="3"/>
  <c r="F31" i="3"/>
  <c r="F30" i="3"/>
  <c r="F19" i="3"/>
  <c r="C10" i="8"/>
  <c r="G47" i="9" s="1"/>
  <c r="C10" i="10"/>
  <c r="J66" i="3"/>
  <c r="E39" i="3"/>
  <c r="E37" i="3"/>
  <c r="E43" i="3"/>
  <c r="E26" i="3"/>
  <c r="E42" i="3"/>
  <c r="E44" i="3"/>
  <c r="E29" i="3"/>
  <c r="E28" i="3"/>
  <c r="E20" i="3"/>
  <c r="E30" i="3"/>
  <c r="E25" i="3"/>
  <c r="E31" i="3"/>
  <c r="E19" i="3"/>
  <c r="E36" i="3"/>
  <c r="E38" i="3"/>
  <c r="E41" i="3"/>
  <c r="E32" i="3"/>
  <c r="E24" i="3"/>
  <c r="E40" i="3"/>
  <c r="E23" i="3"/>
  <c r="E35" i="3"/>
  <c r="E27" i="3"/>
  <c r="E22" i="3"/>
  <c r="E34" i="3"/>
  <c r="E33" i="3"/>
  <c r="E21" i="3"/>
  <c r="H49" i="3"/>
  <c r="H50" i="3" s="1"/>
  <c r="G49" i="3"/>
  <c r="G50" i="3" s="1"/>
  <c r="D50" i="3"/>
  <c r="L49" i="3"/>
  <c r="L50" i="3" s="1"/>
  <c r="E49" i="3"/>
  <c r="E50" i="3" s="1"/>
  <c r="K49" i="3"/>
  <c r="K50" i="3" s="1"/>
  <c r="I49" i="3"/>
  <c r="I50" i="3" s="1"/>
  <c r="J49" i="3"/>
  <c r="J50" i="3" s="1"/>
  <c r="F49" i="3"/>
  <c r="F50" i="3" s="1"/>
  <c r="H48" i="9"/>
  <c r="G48" i="9"/>
  <c r="H15" i="3"/>
  <c r="H18" i="3"/>
  <c r="K25" i="3"/>
  <c r="K24" i="3"/>
  <c r="K29" i="3"/>
  <c r="K26" i="3"/>
  <c r="K22" i="3"/>
  <c r="K31" i="3"/>
  <c r="K30" i="3"/>
  <c r="K27" i="3"/>
  <c r="K21" i="3"/>
  <c r="K28" i="3"/>
  <c r="K19" i="3"/>
  <c r="K23" i="3"/>
  <c r="K20" i="3"/>
  <c r="H6" i="9" l="1"/>
  <c r="H8" i="9" s="1"/>
  <c r="H10" i="9" s="1"/>
  <c r="H12" i="9" s="1"/>
  <c r="H14" i="9" s="1"/>
  <c r="H16" i="9" s="1"/>
  <c r="H18" i="9" s="1"/>
  <c r="H20" i="9" s="1"/>
  <c r="H22" i="9" s="1"/>
  <c r="H24" i="9" s="1"/>
  <c r="H26" i="9" s="1"/>
  <c r="H28" i="9" s="1"/>
  <c r="H30" i="9" s="1"/>
  <c r="H32" i="9" s="1"/>
  <c r="H34" i="9" s="1"/>
  <c r="H36" i="9" s="1"/>
  <c r="H38" i="9" s="1"/>
  <c r="I4" i="9"/>
  <c r="I6" i="9" s="1"/>
  <c r="I8" i="9" s="1"/>
  <c r="I10" i="9" s="1"/>
  <c r="I12" i="9" s="1"/>
  <c r="I14" i="9" s="1"/>
  <c r="I16" i="9" s="1"/>
  <c r="I18" i="9" s="1"/>
  <c r="I20" i="9" s="1"/>
  <c r="I22" i="9" s="1"/>
  <c r="I24" i="9" s="1"/>
  <c r="I26" i="9" s="1"/>
  <c r="I28" i="9" s="1"/>
  <c r="I30" i="9" s="1"/>
  <c r="I32" i="9" s="1"/>
  <c r="I34" i="9" s="1"/>
  <c r="I36" i="9" s="1"/>
  <c r="I38" i="9" s="1"/>
  <c r="D13" i="9"/>
  <c r="D5" i="9"/>
  <c r="F9" i="9" s="1"/>
  <c r="G19" i="9"/>
  <c r="D17" i="9"/>
  <c r="E25" i="9"/>
  <c r="H38" i="3"/>
  <c r="H25" i="3"/>
  <c r="H21" i="3"/>
  <c r="H44" i="3"/>
  <c r="H39" i="3"/>
  <c r="H42" i="3"/>
  <c r="H23" i="3"/>
  <c r="H22" i="3"/>
  <c r="H41" i="3"/>
  <c r="H33" i="3"/>
  <c r="H32" i="3"/>
  <c r="H28" i="3"/>
  <c r="H29" i="3"/>
  <c r="H20" i="3"/>
  <c r="H40" i="3"/>
  <c r="H19" i="3"/>
  <c r="H43" i="3"/>
  <c r="H24" i="3"/>
  <c r="H35" i="3"/>
  <c r="H36" i="3"/>
  <c r="H31" i="3"/>
  <c r="H37" i="3"/>
  <c r="H30" i="3"/>
  <c r="H27" i="3"/>
  <c r="H26" i="3"/>
  <c r="H34" i="3"/>
  <c r="H27" i="9"/>
  <c r="H31" i="9"/>
  <c r="H35" i="9"/>
  <c r="E23" i="9"/>
  <c r="D27" i="9"/>
  <c r="D31" i="9" s="1"/>
  <c r="D35" i="9" s="1"/>
  <c r="E29" i="9"/>
  <c r="E37" i="9"/>
  <c r="E33" i="9"/>
  <c r="I24" i="3"/>
  <c r="I41" i="3"/>
  <c r="I29" i="3"/>
  <c r="I44" i="3"/>
  <c r="I28" i="3"/>
  <c r="I39" i="3"/>
  <c r="I37" i="3"/>
  <c r="I22" i="3"/>
  <c r="I23" i="3"/>
  <c r="I25" i="3"/>
  <c r="I27" i="3"/>
  <c r="I21" i="3"/>
  <c r="I33" i="3"/>
  <c r="I19" i="3"/>
  <c r="I40" i="3"/>
  <c r="I20" i="3"/>
  <c r="I35" i="3"/>
  <c r="I26" i="3"/>
  <c r="I36" i="3"/>
  <c r="I38" i="3"/>
  <c r="I43" i="3"/>
  <c r="I30" i="3"/>
  <c r="I42" i="3"/>
  <c r="I31" i="3"/>
  <c r="I34" i="3"/>
  <c r="I32" i="3"/>
</calcChain>
</file>

<file path=xl/comments1.xml><?xml version="1.0" encoding="utf-8"?>
<comments xmlns="http://schemas.openxmlformats.org/spreadsheetml/2006/main">
  <authors>
    <author>Herm</author>
    <author>HP Pavilion User</author>
    <author>Herman</author>
    <author>dyhjn</author>
    <author>TECO</author>
  </authors>
  <commentList>
    <comment ref="I5" authorId="0" shapeId="0">
      <text>
        <r>
          <rPr>
            <b/>
            <sz val="9"/>
            <color indexed="81"/>
            <rFont val="Tahoma"/>
            <family val="2"/>
          </rPr>
          <t xml:space="preserve">            Age Group Percentage Score</t>
        </r>
        <r>
          <rPr>
            <u/>
            <sz val="9"/>
            <color indexed="81"/>
            <rFont val="Tahoma"/>
            <family val="2"/>
          </rPr>
          <t xml:space="preserve">
USATF Masters gives the following guidelines for scores:</t>
        </r>
        <r>
          <rPr>
            <sz val="9"/>
            <color indexed="81"/>
            <rFont val="Tahoma"/>
            <family val="2"/>
          </rPr>
          <t xml:space="preserve">
100% - Approximate World Record Level
&gt;90% - World Class Level
&gt;80% - National Class Level
&gt;70% - Regional Class Level
&gt;60% - Local Class Level</t>
        </r>
      </text>
    </comment>
    <comment ref="G6" authorId="1" shapeId="0">
      <text>
        <r>
          <rPr>
            <sz val="10"/>
            <color indexed="81"/>
            <rFont val="Tahoma"/>
            <family val="2"/>
          </rPr>
          <t xml:space="preserve">Enter all times as
</t>
        </r>
        <r>
          <rPr>
            <b/>
            <sz val="10"/>
            <color indexed="81"/>
            <rFont val="Tahoma"/>
            <family val="2"/>
          </rPr>
          <t>h:mm:ss</t>
        </r>
        <r>
          <rPr>
            <sz val="10"/>
            <color indexed="81"/>
            <rFont val="Tahoma"/>
            <family val="2"/>
          </rPr>
          <t xml:space="preserve">
Hours must be entered even if zero.</t>
        </r>
      </text>
    </comment>
    <comment ref="I6" authorId="1" shapeId="0">
      <text>
        <r>
          <rPr>
            <sz val="8"/>
            <color indexed="81"/>
            <rFont val="Tahoma"/>
            <family val="2"/>
          </rPr>
          <t>Valid VDOT range is
25 to 85.</t>
        </r>
      </text>
    </comment>
    <comment ref="M30" authorId="2" shapeId="0">
      <text>
        <r>
          <rPr>
            <b/>
            <sz val="8"/>
            <color indexed="81"/>
            <rFont val="Tahoma"/>
            <family val="2"/>
          </rPr>
          <t>For this field Time Entry must be in h:mm:ss format</t>
        </r>
      </text>
    </comment>
    <comment ref="O30" authorId="2" shapeId="0">
      <text>
        <r>
          <rPr>
            <b/>
            <sz val="8"/>
            <color indexed="81"/>
            <rFont val="Tahoma"/>
            <family val="2"/>
          </rPr>
          <t>Enter Pace in mm:ss format</t>
        </r>
      </text>
    </comment>
    <comment ref="O74" authorId="1" shapeId="0">
      <text>
        <r>
          <rPr>
            <sz val="10"/>
            <color indexed="81"/>
            <rFont val="Tahoma"/>
            <family val="2"/>
          </rPr>
          <t xml:space="preserve">Enter time as
</t>
        </r>
        <r>
          <rPr>
            <b/>
            <sz val="10"/>
            <color indexed="81"/>
            <rFont val="Tahoma"/>
            <family val="2"/>
          </rPr>
          <t>h:mm:ss</t>
        </r>
        <r>
          <rPr>
            <sz val="10"/>
            <color indexed="81"/>
            <rFont val="Tahoma"/>
            <family val="2"/>
          </rPr>
          <t xml:space="preserve">
Hours must be entered even if zero.</t>
        </r>
      </text>
    </comment>
    <comment ref="I87" authorId="3" shapeId="0">
      <text>
        <r>
          <rPr>
            <u/>
            <sz val="9"/>
            <color indexed="81"/>
            <rFont val="Tahoma"/>
            <family val="2"/>
          </rPr>
          <t xml:space="preserve"> Power Factors</t>
        </r>
        <r>
          <rPr>
            <sz val="9"/>
            <color indexed="81"/>
            <rFont val="Tahoma"/>
            <family val="2"/>
          </rPr>
          <t>:
1)  Daniels:  0.83
2)  Physics:  0.50
3) Flyer HC:  0.33
This setting also affects weight change calcs
in Entry Time Grading and Peak Potential.</t>
        </r>
      </text>
    </comment>
    <comment ref="D103" authorId="1" shapeId="0">
      <text>
        <r>
          <rPr>
            <sz val="10"/>
            <color indexed="81"/>
            <rFont val="Tahoma"/>
            <family val="2"/>
          </rPr>
          <t xml:space="preserve">Enter all times as
</t>
        </r>
        <r>
          <rPr>
            <b/>
            <sz val="10"/>
            <color indexed="81"/>
            <rFont val="Tahoma"/>
            <family val="2"/>
          </rPr>
          <t>h:mm:ss</t>
        </r>
        <r>
          <rPr>
            <sz val="10"/>
            <color indexed="81"/>
            <rFont val="Tahoma"/>
            <family val="2"/>
          </rPr>
          <t xml:space="preserve">
Hours must be entered even if zero.</t>
        </r>
      </text>
    </comment>
    <comment ref="D104" authorId="1" shapeId="0">
      <text>
        <r>
          <rPr>
            <sz val="10"/>
            <color indexed="81"/>
            <rFont val="Tahoma"/>
            <family val="2"/>
          </rPr>
          <t xml:space="preserve">Enter all times as
</t>
        </r>
        <r>
          <rPr>
            <b/>
            <sz val="10"/>
            <color indexed="81"/>
            <rFont val="Tahoma"/>
            <family val="2"/>
          </rPr>
          <t>h:mm:ss</t>
        </r>
        <r>
          <rPr>
            <sz val="10"/>
            <color indexed="81"/>
            <rFont val="Tahoma"/>
            <family val="2"/>
          </rPr>
          <t xml:space="preserve">
Hours must be entered even if zero.</t>
        </r>
      </text>
    </comment>
    <comment ref="B109" authorId="4" shapeId="0">
      <text>
        <r>
          <rPr>
            <b/>
            <sz val="8"/>
            <color indexed="81"/>
            <rFont val="Tahoma"/>
            <family val="2"/>
          </rPr>
          <t>Includes recovery runs after hard days, and any other running  around 2 min/mile slower than Marathon pace.</t>
        </r>
      </text>
    </comment>
    <comment ref="B110" authorId="4" shapeId="0">
      <text>
        <r>
          <rPr>
            <b/>
            <sz val="8"/>
            <color indexed="81"/>
            <rFont val="Tahoma"/>
            <family val="2"/>
          </rPr>
          <t>30 to 90 minutes.
Around 1 min/mile slower than Marathon pace.</t>
        </r>
      </text>
    </comment>
    <comment ref="B111" authorId="4" shapeId="0">
      <text>
        <r>
          <rPr>
            <b/>
            <sz val="8"/>
            <color indexed="81"/>
            <rFont val="Tahoma"/>
            <family val="2"/>
          </rPr>
          <t>25-33% percent of weekly total. 90 min up to 2.5 hours or longer. 
Around 1 to 1.5 min/mile slower than Marathon pace.</t>
        </r>
      </text>
    </comment>
    <comment ref="B112" authorId="4" shapeId="0">
      <text>
        <r>
          <rPr>
            <b/>
            <sz val="8"/>
            <color indexed="81"/>
            <rFont val="Tahoma"/>
            <family val="2"/>
          </rPr>
          <t>7-16 Miles.  
60 to 150 minutes.</t>
        </r>
      </text>
    </comment>
    <comment ref="B113" authorId="4" shapeId="0">
      <text>
        <r>
          <rPr>
            <b/>
            <sz val="8"/>
            <color indexed="81"/>
            <rFont val="Tahoma"/>
            <family val="2"/>
          </rPr>
          <t>Up to 10% of weekly total.
25-30 sec slower than 5k pace.</t>
        </r>
      </text>
    </comment>
    <comment ref="B115" authorId="4" shapeId="0">
      <text>
        <r>
          <rPr>
            <b/>
            <sz val="8"/>
            <color indexed="81"/>
            <rFont val="Tahoma"/>
            <family val="2"/>
          </rPr>
          <t>Up to 8% of weekly total.
Around 3k-5k pace.</t>
        </r>
      </text>
    </comment>
    <comment ref="B116" authorId="4" shapeId="0">
      <text>
        <r>
          <rPr>
            <b/>
            <sz val="8"/>
            <color indexed="81"/>
            <rFont val="Tahoma"/>
            <family val="2"/>
          </rPr>
          <t>Up to 5% of weekly total.
Target Race Pace.</t>
        </r>
      </text>
    </comment>
  </commentList>
</comments>
</file>

<file path=xl/sharedStrings.xml><?xml version="1.0" encoding="utf-8"?>
<sst xmlns="http://schemas.openxmlformats.org/spreadsheetml/2006/main" count="1017" uniqueCount="664">
  <si>
    <t>Birthdate:</t>
  </si>
  <si>
    <t>HRmax:</t>
  </si>
  <si>
    <t>Custom</t>
  </si>
  <si>
    <t>Rest HR:</t>
  </si>
  <si>
    <t>A Collection of Jack Daniels' Related Guidelines (&amp; Other Tools)</t>
  </si>
  <si>
    <t>Distance</t>
  </si>
  <si>
    <t>`</t>
  </si>
  <si>
    <t>Colums to hide</t>
  </si>
  <si>
    <r>
      <t xml:space="preserve">Valid age range is between 5 and 100. </t>
    </r>
    <r>
      <rPr>
        <b/>
        <sz val="7"/>
        <rFont val="Arial"/>
        <family val="2"/>
      </rPr>
      <t>Age =</t>
    </r>
  </si>
  <si>
    <t>H:MM:SS</t>
  </si>
  <si>
    <t>Lactate Threshold Zone (LT)</t>
  </si>
  <si>
    <t>Distance:</t>
  </si>
  <si>
    <t>Time:</t>
  </si>
  <si>
    <t>LT Pace:</t>
  </si>
  <si>
    <t>LT HR:</t>
  </si>
  <si>
    <t>Zone / Distance</t>
  </si>
  <si>
    <t>Recovery</t>
  </si>
  <si>
    <t>Easy Aerobic Zone</t>
  </si>
  <si>
    <t>Mod Aero</t>
  </si>
  <si>
    <t>Hi Aero</t>
  </si>
  <si>
    <t>Marathon</t>
  </si>
  <si>
    <t>1/2 Mar</t>
  </si>
  <si>
    <t>15k</t>
  </si>
  <si>
    <t>12k</t>
  </si>
  <si>
    <t>10k</t>
  </si>
  <si>
    <t>8k</t>
  </si>
  <si>
    <t>5k</t>
  </si>
  <si>
    <t>3k</t>
  </si>
  <si>
    <t>1 Mile</t>
  </si>
  <si>
    <t xml:space="preserve">Heart Rate Tweak </t>
  </si>
  <si>
    <t xml:space="preserve">Distance in Miles --&gt; </t>
  </si>
  <si>
    <t>1. Lower        2. Medium</t>
  </si>
  <si>
    <t xml:space="preserve">Distance in Meters --&gt; </t>
  </si>
  <si>
    <t>3. Higher</t>
  </si>
  <si>
    <t xml:space="preserve">Daniels' Calculated % of VO2max --&gt; </t>
  </si>
  <si>
    <t xml:space="preserve">% of HRmax </t>
  </si>
  <si>
    <t>% of HR Reserve</t>
  </si>
  <si>
    <t xml:space="preserve">Train / Race HR </t>
  </si>
  <si>
    <t xml:space="preserve">Pace / Mile </t>
  </si>
  <si>
    <t xml:space="preserve">Pace / km </t>
  </si>
  <si>
    <t>Points Grid</t>
  </si>
  <si>
    <t>Distance Based Intensity Points Grid (Daniels)</t>
  </si>
  <si>
    <t>*These calcs based on performance entered above</t>
  </si>
  <si>
    <t xml:space="preserve">Points Factor </t>
  </si>
  <si>
    <t>-</t>
  </si>
  <si>
    <t>Intensity Points Calculator</t>
  </si>
  <si>
    <t xml:space="preserve">   1 - Time &amp; Distance</t>
  </si>
  <si>
    <t xml:space="preserve">       3 - Distance &amp; Pace</t>
  </si>
  <si>
    <t>Mode</t>
  </si>
  <si>
    <t>Points Factors</t>
  </si>
  <si>
    <t xml:space="preserve">   2 - Time &amp; Pace</t>
  </si>
  <si>
    <t xml:space="preserve">       4 - Time &amp; Heart Rate</t>
  </si>
  <si>
    <t>Time</t>
  </si>
  <si>
    <t>h:mm:ss</t>
  </si>
  <si>
    <t>Pace</t>
  </si>
  <si>
    <t>HeartRate</t>
  </si>
  <si>
    <t>Factor</t>
  </si>
  <si>
    <t>Points</t>
  </si>
  <si>
    <t>Heart Rate</t>
  </si>
  <si>
    <t xml:space="preserve"> Weekly Point Levels</t>
  </si>
  <si>
    <t>Novice High School - 50</t>
  </si>
  <si>
    <t>College - 150</t>
  </si>
  <si>
    <t>Advanced High School - 100</t>
  </si>
  <si>
    <t>Elite - 200</t>
  </si>
  <si>
    <t>This table calculates Intensity Points based on effort (Percent of HRmax) and distance of run.</t>
  </si>
  <si>
    <t>Add Time</t>
  </si>
  <si>
    <t>Extended Projection Table</t>
  </si>
  <si>
    <t>Age/Sex Grading</t>
  </si>
  <si>
    <t>Duration</t>
  </si>
  <si>
    <t>(mm:ss)</t>
  </si>
  <si>
    <t>vs Age</t>
  </si>
  <si>
    <t>miles</t>
  </si>
  <si>
    <t>Male</t>
  </si>
  <si>
    <t>Female</t>
  </si>
  <si>
    <t>Approx Distance</t>
  </si>
  <si>
    <t>1500m</t>
  </si>
  <si>
    <t>20 min run at Threshold Pace - Longer runs adjusted for proper intensity.</t>
  </si>
  <si>
    <t>2k</t>
  </si>
  <si>
    <t>2 Mile</t>
  </si>
  <si>
    <t>3 Mile</t>
  </si>
  <si>
    <t>4 Mile</t>
  </si>
  <si>
    <t>ARRS</t>
  </si>
  <si>
    <t>5 Mile</t>
  </si>
  <si>
    <t>Top 3 are Daniels' R, I, and T Paces - Bottom 3 are Generic 1 Mile, 5k, and 10k Paced Intervals</t>
  </si>
  <si>
    <t>McMillanRunning.com</t>
  </si>
  <si>
    <t xml:space="preserve"> Training Range Guideline Approximations</t>
  </si>
  <si>
    <t>10 Mile</t>
  </si>
  <si>
    <t>Run Type</t>
  </si>
  <si>
    <t>Anaerobic Int</t>
  </si>
  <si>
    <t>Aerobic Int</t>
  </si>
  <si>
    <t>Cruise Int</t>
  </si>
  <si>
    <t>Tempo Int</t>
  </si>
  <si>
    <t>Tempo</t>
  </si>
  <si>
    <t>Steady</t>
  </si>
  <si>
    <t>Easy</t>
  </si>
  <si>
    <t>Long</t>
  </si>
  <si>
    <t>20k</t>
  </si>
  <si>
    <t>Race Pace</t>
  </si>
  <si>
    <t>3k - 8k</t>
  </si>
  <si>
    <t>8k - 12k</t>
  </si>
  <si>
    <t>10k - 15k</t>
  </si>
  <si>
    <t>12k - 1/2m</t>
  </si>
  <si>
    <t>1/2m - 30k</t>
  </si>
  <si>
    <t>MP+30-60</t>
  </si>
  <si>
    <t>MP+30-90</t>
  </si>
  <si>
    <t>25k</t>
  </si>
  <si>
    <t>Subtract</t>
  </si>
  <si>
    <t>30k</t>
  </si>
  <si>
    <t>*Note: The Greg McMillan and Joe Friel tables are approximate representations, not exact duplications.</t>
  </si>
  <si>
    <t>Joe Friel</t>
  </si>
  <si>
    <t xml:space="preserve"> Training Zone Approximations</t>
  </si>
  <si>
    <t>50k</t>
  </si>
  <si>
    <r>
      <t xml:space="preserve">Zones </t>
    </r>
    <r>
      <rPr>
        <sz val="8"/>
        <rFont val="Arial"/>
        <family val="2"/>
      </rPr>
      <t>(Based on Lactate Threshold - LT)</t>
    </r>
  </si>
  <si>
    <t>Zone 1</t>
  </si>
  <si>
    <t>Zone 2</t>
  </si>
  <si>
    <t>Zone 3</t>
  </si>
  <si>
    <t>Zone 4</t>
  </si>
  <si>
    <t>Zone 5a</t>
  </si>
  <si>
    <t>Zone 5b</t>
  </si>
  <si>
    <t>Zone 5c</t>
  </si>
  <si>
    <t>Racing Statistics</t>
  </si>
  <si>
    <t>Fastest Ages</t>
  </si>
  <si>
    <t>Zones by Heart Rate</t>
  </si>
  <si>
    <t>IAAF</t>
  </si>
  <si>
    <t>Calc LTHR</t>
  </si>
  <si>
    <t>Calc FTPa</t>
  </si>
  <si>
    <t>Entry Time Grading</t>
  </si>
  <si>
    <t>Open Std:</t>
  </si>
  <si>
    <t>Temperature</t>
  </si>
  <si>
    <t>Hypothetical best time</t>
  </si>
  <si>
    <t>Adjusted Time</t>
  </si>
  <si>
    <t>Grading Calcs are Based on</t>
  </si>
  <si>
    <t>humanly possible at</t>
  </si>
  <si>
    <t>Time &amp; VDOT. Distance is Irrelevant.</t>
  </si>
  <si>
    <t>Best time possible at</t>
  </si>
  <si>
    <t>Age Grading</t>
  </si>
  <si>
    <t>age:</t>
  </si>
  <si>
    <t>Time Difference</t>
  </si>
  <si>
    <t>Free Form VDOT Calculator</t>
  </si>
  <si>
    <t>%VO2max</t>
  </si>
  <si>
    <t>Adjusted VDOT</t>
  </si>
  <si>
    <t>Valid Age?</t>
  </si>
  <si>
    <t>Estimated Time</t>
  </si>
  <si>
    <t>Time fields must be h:mm:ss format</t>
  </si>
  <si>
    <t>Estimated Times &amp; Pace are +/- 2 seconds per mile</t>
  </si>
  <si>
    <t>Weight Increment:</t>
  </si>
  <si>
    <t>Pace Calculator</t>
  </si>
  <si>
    <t>Compare to</t>
  </si>
  <si>
    <t>Miles</t>
  </si>
  <si>
    <t>Body Mass Index (BMI)</t>
  </si>
  <si>
    <t>BMI Range</t>
  </si>
  <si>
    <t>&lt;18.5</t>
  </si>
  <si>
    <t>&gt;25</t>
  </si>
  <si>
    <t>Km</t>
  </si>
  <si>
    <t>Too Thin</t>
  </si>
  <si>
    <t>OvrWeight</t>
  </si>
  <si>
    <t>Finish Time Calculator</t>
  </si>
  <si>
    <t xml:space="preserve">   Dr. Stillman's Weight Guidelines</t>
  </si>
  <si>
    <t>Average Adult</t>
  </si>
  <si>
    <t>Middle Dist Runner</t>
  </si>
  <si>
    <t>Long Dist Runner</t>
  </si>
  <si>
    <t>Pace/mi</t>
  </si>
  <si>
    <t>Non-Active</t>
  </si>
  <si>
    <t>(12% Below Average)</t>
  </si>
  <si>
    <t>(15% Below Average)</t>
  </si>
  <si>
    <t>Pace/km</t>
  </si>
  <si>
    <t>Quick Converter</t>
  </si>
  <si>
    <t>US to Metric</t>
  </si>
  <si>
    <t>VDOT</t>
  </si>
  <si>
    <t>Time Grade Summary</t>
  </si>
  <si>
    <t>VDOT if I Now Weighed --&gt;</t>
  </si>
  <si>
    <t>Combined Time Grade</t>
  </si>
  <si>
    <t>Metric to US</t>
  </si>
  <si>
    <t>%HRmax</t>
  </si>
  <si>
    <t>Percent</t>
  </si>
  <si>
    <t>Pace/Speed Conversions</t>
  </si>
  <si>
    <t>WarmUp / Recovery</t>
  </si>
  <si>
    <t>65-70%</t>
  </si>
  <si>
    <t>Aerobic Zone</t>
  </si>
  <si>
    <t>70-79%</t>
  </si>
  <si>
    <t>&amp; Aerobic</t>
  </si>
  <si>
    <t xml:space="preserve">Long Run </t>
  </si>
  <si>
    <t>70-75%</t>
  </si>
  <si>
    <t xml:space="preserve"> Marathon Pace</t>
  </si>
  <si>
    <t>80-89%</t>
  </si>
  <si>
    <t>Endurance</t>
  </si>
  <si>
    <t>Tempo / Cruise</t>
  </si>
  <si>
    <t>88-92%</t>
  </si>
  <si>
    <t>&amp; Strength</t>
  </si>
  <si>
    <t>Hills</t>
  </si>
  <si>
    <t xml:space="preserve">Intervals </t>
  </si>
  <si>
    <t>95-100%</t>
  </si>
  <si>
    <t>Speed</t>
  </si>
  <si>
    <t>Meters</t>
  </si>
  <si>
    <t xml:space="preserve">Repititions </t>
  </si>
  <si>
    <t>&amp; Races</t>
  </si>
  <si>
    <t xml:space="preserve">Race </t>
  </si>
  <si>
    <t>Totals</t>
  </si>
  <si>
    <t>* Asterisk Denotes Highest Mileage Day</t>
  </si>
  <si>
    <t>These figures needed for worksheet calcs… do not disturb!</t>
  </si>
  <si>
    <t>% VDOT</t>
  </si>
  <si>
    <t>% of HRMax</t>
  </si>
  <si>
    <t>Point Value</t>
  </si>
  <si>
    <t>Age</t>
  </si>
  <si>
    <t>FactorM</t>
  </si>
  <si>
    <t>FactorF</t>
  </si>
  <si>
    <t>MtoF_Fact</t>
  </si>
  <si>
    <t>No two runners are exactly alike. The many tables of projections and calculations in this worksheet are intended to be used as guidelines to aid in training plan development</t>
  </si>
  <si>
    <t>impacting this, including of course fitness level. But it's also due to the fact that time spent running is a significant factor with relation to maintaining a particular heart rate.</t>
  </si>
  <si>
    <t>A slower runner must ration his/her energy over a longer period of time, therefore needs to run at a lower effort to complete the distance.</t>
  </si>
  <si>
    <r>
      <t xml:space="preserve">The </t>
    </r>
    <r>
      <rPr>
        <b/>
        <sz val="9"/>
        <rFont val="Arial"/>
        <family val="2"/>
      </rPr>
      <t>Intensigy Points Grid</t>
    </r>
    <r>
      <rPr>
        <sz val="9"/>
        <rFont val="Arial"/>
        <family val="2"/>
      </rPr>
      <t xml:space="preserve"> provides a method of quantifying the stress or workload of a particular workout type across a wide range of pace and durations.</t>
    </r>
  </si>
  <si>
    <t>This allows comparison of relative workloads of the various types of workouts, and provides a means of tracking combined intensity over weekly or monthly training periods.</t>
  </si>
  <si>
    <r>
      <t>Intensity Point</t>
    </r>
    <r>
      <rPr>
        <sz val="9"/>
        <rFont val="Arial"/>
        <family val="2"/>
      </rPr>
      <t xml:space="preserve"> calculations are based on data taken from Jack Daniels' Intensity Training Table (Table 2.2) from "Daniels' Running Formula, </t>
    </r>
    <r>
      <rPr>
        <b/>
        <sz val="9"/>
        <rFont val="Arial"/>
        <family val="2"/>
      </rPr>
      <t>2nd Edition</t>
    </r>
    <r>
      <rPr>
        <sz val="9"/>
        <rFont val="Arial"/>
        <family val="2"/>
      </rPr>
      <t>".</t>
    </r>
  </si>
  <si>
    <t>More training points per minute are given to workouts as the intensity  increases. The faster and/or longer the workout, the more points are accumulated.</t>
  </si>
  <si>
    <t>The calculator operates in 4 different modes: Time and Distance, Time and Pace, Distance and Pace, and Time and Heart Rate.</t>
  </si>
  <si>
    <t>Select the preferred mode by entering the appropriate number (1 through 4) in the Mode Entry Box.</t>
  </si>
  <si>
    <t xml:space="preserve">Daniels outlines the following general guidelines regarding total weekly point levels: </t>
  </si>
  <si>
    <t>[Novice High School - 50 points]   [Advanced High School - 100 points]   [College - 150 points]   [Elite - 200 points]</t>
  </si>
  <si>
    <r>
      <t xml:space="preserve">Using data from Table 7.1 in Daniels' 2nd Edition, the </t>
    </r>
    <r>
      <rPr>
        <b/>
        <sz val="9"/>
        <rFont val="Arial"/>
        <family val="2"/>
      </rPr>
      <t>Tempo Pace table</t>
    </r>
    <r>
      <rPr>
        <sz val="9"/>
        <rFont val="Arial"/>
        <family val="2"/>
      </rPr>
      <t xml:space="preserve"> starts with a baseline 20 minute </t>
    </r>
    <r>
      <rPr>
        <b/>
        <sz val="9"/>
        <rFont val="Arial"/>
        <family val="2"/>
      </rPr>
      <t>Threshold Pace</t>
    </r>
    <r>
      <rPr>
        <sz val="9"/>
        <rFont val="Arial"/>
        <family val="2"/>
      </rPr>
      <t xml:space="preserve"> run</t>
    </r>
    <r>
      <rPr>
        <sz val="9"/>
        <rFont val="Arial"/>
        <family val="2"/>
      </rPr>
      <t xml:space="preserve"> and adjusts the pace for </t>
    </r>
    <r>
      <rPr>
        <b/>
        <sz val="9"/>
        <rFont val="Arial"/>
        <family val="2"/>
      </rPr>
      <t>Tempo Runs</t>
    </r>
  </si>
  <si>
    <r>
      <t xml:space="preserve">ranging from 25 to 60 minutes. </t>
    </r>
    <r>
      <rPr>
        <b/>
        <sz val="9"/>
        <rFont val="Arial"/>
        <family val="2"/>
      </rPr>
      <t>Tempo paces</t>
    </r>
    <r>
      <rPr>
        <sz val="9"/>
        <rFont val="Arial"/>
        <family val="2"/>
      </rPr>
      <t xml:space="preserve"> shown are appropriate for the fitness level indicated by the race distance &amp; time entered at the top of the worsheet.</t>
    </r>
  </si>
  <si>
    <r>
      <t xml:space="preserve">The </t>
    </r>
    <r>
      <rPr>
        <b/>
        <sz val="9"/>
        <rFont val="Arial"/>
        <family val="2"/>
      </rPr>
      <t>McMilanRunning.com Training Range Guidelines</t>
    </r>
    <r>
      <rPr>
        <sz val="9"/>
        <rFont val="Arial"/>
        <family val="2"/>
      </rPr>
      <t xml:space="preserve"> table outlines Greg McMillan's training ranges, and provides an alternative set of guidelines from a professional source</t>
    </r>
  </si>
  <si>
    <t>for comparison. The race distance ranges defining each training type are quoted directly from McMillan's site. However, due to differences in race pace calculation methods,</t>
  </si>
  <si>
    <t>the actual pace ranges are only approximations and do not exactly match those on McMillan's site.</t>
  </si>
  <si>
    <r>
      <t xml:space="preserve">The </t>
    </r>
    <r>
      <rPr>
        <b/>
        <sz val="9"/>
        <rFont val="Arial"/>
        <family val="2"/>
      </rPr>
      <t>Joe Friel Training Zone Guidelines</t>
    </r>
    <r>
      <rPr>
        <sz val="9"/>
        <rFont val="Arial"/>
        <family val="2"/>
      </rPr>
      <t xml:space="preserve"> table outlines Joe Friel's training Zones, and provides a 2nd alternative set of guidelines from a professional source</t>
    </r>
  </si>
  <si>
    <t>for comparison. The formulas for this section are based on the information on Joe's "Quick Guide to Training with Heart Rate, Power and Pace".</t>
  </si>
  <si>
    <t>The worksheet uses 90% of Heart Rate max for the default LTHR, and the calculated Lactate Threshold Pace as the default FTPa.</t>
  </si>
  <si>
    <t>If you do Joe's 30 minute test to determine your actual LTHR or FTPa, you can override the defaults with your actuals.</t>
  </si>
  <si>
    <t xml:space="preserve">Perhaps he found that performance loss due to heat was too variable to accurately predict. What ever the reason, I still find it interesting to have some idea how high </t>
  </si>
  <si>
    <t xml:space="preserve">temperatures affect running performance, even if the table results have a potential for a high degree of variability or error. I'm not saying for sure there is a lot of error, </t>
  </si>
  <si>
    <t>I assume a similar slowdown is experienced for all racing distances.</t>
  </si>
  <si>
    <r>
      <t xml:space="preserve">work invites burnout and/or injury.  This table is designed to help develop a balanced distribution of the various types of training. Cursor over the </t>
    </r>
    <r>
      <rPr>
        <b/>
        <sz val="9"/>
        <rFont val="Arial"/>
        <family val="2"/>
      </rPr>
      <t>Run Type Names</t>
    </r>
    <r>
      <rPr>
        <sz val="9"/>
        <rFont val="Arial"/>
        <family val="2"/>
      </rPr>
      <t xml:space="preserve"> in the table to see</t>
    </r>
  </si>
  <si>
    <t xml:space="preserve">basic guidelines for the length or duration of each type of workout. Since not everyone runs the same types of workouts on the same days, a Day 1, Day 2, etc convention is used. </t>
  </si>
  <si>
    <t xml:space="preserve">These fields may be edited to days of the week, if preferred. </t>
  </si>
  <si>
    <t>To change the multiplier just enter the new factor, the x symbol shows by default. As a reminder, the multiplier turns red anytime it is set to a value other than 1.0.</t>
  </si>
  <si>
    <t xml:space="preserve">male or female.  This info doesn't come from Daniels, but it can be fun to compare your times with runners of different ages, your former self, and/or members of the opposite sex, </t>
  </si>
  <si>
    <t xml:space="preserve">Dated: </t>
  </si>
  <si>
    <t xml:space="preserve">Download the latest version at: </t>
  </si>
  <si>
    <t>http://www.electricblues.com/runpro.html</t>
  </si>
  <si>
    <t>Bibliography/Works Cited</t>
  </si>
  <si>
    <r>
      <t xml:space="preserve">Daniels, Jack, and Jimmy Gilbert.  </t>
    </r>
    <r>
      <rPr>
        <i/>
        <u/>
        <sz val="10"/>
        <rFont val="Arial"/>
        <family val="2"/>
      </rPr>
      <t>Oxygen Power: Performance Tables for Distance Runners</t>
    </r>
    <r>
      <rPr>
        <sz val="10"/>
        <rFont val="Arial"/>
        <family val="2"/>
      </rPr>
      <t>. Jack Daniels, Jimmy Gilbert c1979</t>
    </r>
  </si>
  <si>
    <r>
      <t xml:space="preserve">Daniels, Jack. </t>
    </r>
    <r>
      <rPr>
        <i/>
        <u/>
        <sz val="10"/>
        <rFont val="Arial"/>
        <family val="2"/>
      </rPr>
      <t>Daniels' Running Formula</t>
    </r>
    <r>
      <rPr>
        <sz val="10"/>
        <rFont val="Arial"/>
        <family val="2"/>
      </rPr>
      <t xml:space="preserve"> (1nd Edition). Champaign, IL : Human Kinetics, c1998.</t>
    </r>
  </si>
  <si>
    <r>
      <t xml:space="preserve">Daniels, Jack. </t>
    </r>
    <r>
      <rPr>
        <i/>
        <u/>
        <sz val="10"/>
        <rFont val="Arial"/>
        <family val="2"/>
      </rPr>
      <t>Daniels' Running Formula</t>
    </r>
    <r>
      <rPr>
        <sz val="10"/>
        <rFont val="Arial"/>
        <family val="2"/>
      </rPr>
      <t xml:space="preserve"> (2nd Edition). Champaign, IL : Human Kinetics, c2005.</t>
    </r>
  </si>
  <si>
    <r>
      <t xml:space="preserve">McMillan, Greg. </t>
    </r>
    <r>
      <rPr>
        <u/>
        <sz val="10"/>
        <rFont val="Arial"/>
        <family val="2"/>
      </rPr>
      <t>McMillan's 6 Step Training System - Step #4: The 12 Key Workouts</t>
    </r>
    <r>
      <rPr>
        <sz val="10"/>
        <rFont val="Arial"/>
        <family val="2"/>
      </rPr>
      <t xml:space="preserve">. McMillan Running Company, Inc. Copyright © 2006 </t>
    </r>
  </si>
  <si>
    <t xml:space="preserve">Website - </t>
  </si>
  <si>
    <t>http://www.mcmillanrunning.com</t>
  </si>
  <si>
    <t>http://www.mcmillanrunning.com/training4.htm</t>
  </si>
  <si>
    <r>
      <t xml:space="preserve">Friel, Joe. Quick </t>
    </r>
    <r>
      <rPr>
        <u/>
        <sz val="10"/>
        <rFont val="Arial"/>
        <family val="2"/>
      </rPr>
      <t>Guide to Training with Heart Rate, Power and Pace</t>
    </r>
    <r>
      <rPr>
        <sz val="10"/>
        <rFont val="Arial"/>
        <family val="2"/>
      </rPr>
      <t>.</t>
    </r>
  </si>
  <si>
    <t>http://www.joefrielsblog.com/</t>
  </si>
  <si>
    <t>Joe Friel's Quick Guide to Training with Heart Rate, Power and Pace</t>
  </si>
  <si>
    <t>Contributors</t>
  </si>
  <si>
    <t>Last Update:</t>
  </si>
  <si>
    <t>2015 Age Grade Factors</t>
  </si>
  <si>
    <t>Track</t>
  </si>
  <si>
    <t>Open Class</t>
  </si>
  <si>
    <t>Standards</t>
  </si>
  <si>
    <t>5k - 50k</t>
  </si>
  <si>
    <t>Road</t>
  </si>
  <si>
    <t>Racing</t>
  </si>
  <si>
    <t>Times are</t>
  </si>
  <si>
    <t>Age Grade</t>
  </si>
  <si>
    <t>taken from</t>
  </si>
  <si>
    <t>1.5k - 3 mile</t>
  </si>
  <si>
    <t>2015 Open Class Std</t>
  </si>
  <si>
    <t>M: 19-27 /  F: 22-29</t>
  </si>
  <si>
    <t>and goal setting. The pace calculations and other results of the worksheet are general approximations, and not intended to be presented as absolutes.</t>
  </si>
  <si>
    <t xml:space="preserve">Throughout the worksheets, all user entry fields have a white background. All fields with colored backgrounds are formulas and should not be edited.  </t>
  </si>
  <si>
    <t xml:space="preserve">More fit runners can maintain a higher HR over a given race distance than less fit runners, and this is reflected in the heart rate profile.  For example, </t>
  </si>
  <si>
    <t xml:space="preserve">an elite runner may be able to run a marathon at 87-89% of HRmax, while a novice may only be able to maintain 80-82% of Hrmax, or less.  There are several factors </t>
  </si>
  <si>
    <t>*Note: The metric checkbox option here is for height and weight only.  Other tables in the worksheet have independent options to switch to metric.</t>
  </si>
  <si>
    <r>
      <rPr>
        <b/>
        <sz val="9"/>
        <rFont val="Arial"/>
        <family val="2"/>
      </rPr>
      <t>Daniels' Intensity Points</t>
    </r>
    <r>
      <rPr>
        <sz val="9"/>
        <rFont val="Arial"/>
        <family val="2"/>
      </rPr>
      <t xml:space="preserve"> are also calculated for various distances. </t>
    </r>
  </si>
  <si>
    <t xml:space="preserve">The HR estimates do not represent an average over the entire distance. They reflect what one might expect to maintain at a steady state after the first mile or two. </t>
  </si>
  <si>
    <t>A Note about Daniels' VDOT and Equivalent Race Time Calculations:</t>
  </si>
  <si>
    <t>So I used another projection model to calculate projected race times. Therefore, the race time proections in this worksheet will not exactly match those in Daniels' book.</t>
  </si>
  <si>
    <t>The intersection of Excel column E, row 28 shows the points for a 10 mile run at 70% of HRmax.</t>
  </si>
  <si>
    <t>The intersection of Excel column K, row 22 shows the points for a 4 mile run at Half Marathon pace.</t>
  </si>
  <si>
    <r>
      <rPr>
        <sz val="9"/>
        <rFont val="Arial"/>
        <family val="2"/>
      </rPr>
      <t xml:space="preserve">The day with the greatest total miles will automatically be deemed the </t>
    </r>
    <r>
      <rPr>
        <b/>
        <sz val="9"/>
        <rFont val="Arial"/>
        <family val="2"/>
      </rPr>
      <t>Long run</t>
    </r>
    <r>
      <rPr>
        <sz val="9"/>
        <rFont val="Arial"/>
        <family val="2"/>
      </rPr>
      <t xml:space="preserve"> and designated with an asterisk.</t>
    </r>
  </si>
  <si>
    <t xml:space="preserve"> The worksheet uses the total of all components from that day to calculate the long run percentage of weekly total mileage.</t>
  </si>
  <si>
    <t>Main Section:</t>
  </si>
  <si>
    <r>
      <t xml:space="preserve">Unwanted rows of the </t>
    </r>
    <r>
      <rPr>
        <b/>
        <sz val="9"/>
        <rFont val="Arial"/>
        <family val="2"/>
      </rPr>
      <t>Main Section</t>
    </r>
    <r>
      <rPr>
        <sz val="9"/>
        <rFont val="Arial"/>
        <family val="2"/>
      </rPr>
      <t xml:space="preserve"> can be hidden to free up display space. Individual rows can easily be hidden without having to disable protection.</t>
    </r>
  </si>
  <si>
    <r>
      <t xml:space="preserve">The entire </t>
    </r>
    <r>
      <rPr>
        <b/>
        <sz val="9"/>
        <rFont val="Arial"/>
        <family val="2"/>
      </rPr>
      <t>Intensigy Points Grid</t>
    </r>
    <r>
      <rPr>
        <sz val="9"/>
        <rFont val="Arial"/>
        <family val="2"/>
      </rPr>
      <t xml:space="preserve"> can also be hidden, as it takes up a lot of space and many people will probably not be interested in this data.</t>
    </r>
  </si>
  <si>
    <t>Intensity Points Grid</t>
  </si>
  <si>
    <r>
      <t xml:space="preserve">The </t>
    </r>
    <r>
      <rPr>
        <b/>
        <sz val="9"/>
        <rFont val="Arial"/>
        <family val="2"/>
      </rPr>
      <t>Adverse Impact of Temperature</t>
    </r>
    <r>
      <rPr>
        <sz val="9"/>
        <rFont val="Arial"/>
        <family val="2"/>
      </rPr>
      <t xml:space="preserve"> calculations are extracted from Table 10.1 in the 1st Edition of Daniels' book. This table was omitted in Daniels' 2nd Edition.</t>
    </r>
  </si>
  <si>
    <t>Time Addition/Subtraction Calculator</t>
  </si>
  <si>
    <t>Temperature and Weight Time Adjustments</t>
  </si>
  <si>
    <t>Extended Race Time Projection Table</t>
  </si>
  <si>
    <t>Peak Potential</t>
  </si>
  <si>
    <t>Misc Calculators</t>
  </si>
  <si>
    <t>Entry Time Age Grading and Adjustments</t>
  </si>
  <si>
    <t>References</t>
  </si>
  <si>
    <r>
      <t xml:space="preserve">To the right of the Training Zons section is the </t>
    </r>
    <r>
      <rPr>
        <b/>
        <sz val="9"/>
        <rFont val="Arial"/>
        <family val="2"/>
      </rPr>
      <t>Add &amp; Subtract Time</t>
    </r>
    <r>
      <rPr>
        <sz val="9"/>
        <rFont val="Arial"/>
        <family val="2"/>
      </rPr>
      <t xml:space="preserve"> calculator. The pace averaging calculation within the Add section is intended for use when all splits are of equal distance,</t>
    </r>
  </si>
  <si>
    <t>Peak Potential:</t>
  </si>
  <si>
    <t>Original worksheet developed by Herman Nieuwendaal - herm@electricblues.com - 06/02/2006</t>
  </si>
  <si>
    <r>
      <t xml:space="preserve">The remaining sections at the lower right provide various miscellaneous calculations and </t>
    </r>
    <r>
      <rPr>
        <b/>
        <sz val="9"/>
        <rFont val="Arial"/>
        <family val="2"/>
      </rPr>
      <t>US to metric / metric to US measurement conversions</t>
    </r>
    <r>
      <rPr>
        <sz val="9"/>
        <rFont val="Arial"/>
        <family val="2"/>
      </rPr>
      <t>.</t>
    </r>
  </si>
  <si>
    <t>Riegel, Pete - Developed the race time projection model used in this worksheet.  T2=T1*(D2/D1)^1.06</t>
  </si>
  <si>
    <t>http://www.world-masters-athletics.org</t>
  </si>
  <si>
    <t>IAAF - International Association of Athletics Federations</t>
  </si>
  <si>
    <t xml:space="preserve">WMA - World Masters Association (Formerly WAVA)  </t>
  </si>
  <si>
    <t>http://www.iaaf.org</t>
  </si>
  <si>
    <t>2015 Age Grade Tables</t>
  </si>
  <si>
    <t xml:space="preserve">     Founding Member, Association of Road Racing Statisticians.</t>
  </si>
  <si>
    <t>http://www.arrs.net&gt;&lt;Riegelpete@aol.com</t>
  </si>
  <si>
    <t>2015 Open Class Standards Table</t>
  </si>
  <si>
    <t>age factors to the Open Standard (World Record) as recorded in the 2015 Age Grading Tables. Achieving close to this Peak Potential would represent an Elite level perfomance.</t>
  </si>
  <si>
    <t>Temperature:</t>
  </si>
  <si>
    <t>When using the Custom Distance option, the distance does not need to be a recognized race distance. You can enter values such as 3.5 km, or 5.6 miles.</t>
  </si>
  <si>
    <r>
      <t xml:space="preserve">You can choose from seven common racing distances listed in the drop down, or you can use the Custom Distance option to enter </t>
    </r>
    <r>
      <rPr>
        <b/>
        <sz val="9"/>
        <rFont val="Arial"/>
        <family val="2"/>
      </rPr>
      <t>*any* distance</t>
    </r>
    <r>
      <rPr>
        <sz val="9"/>
        <rFont val="Arial"/>
        <family val="2"/>
      </rPr>
      <t>.</t>
    </r>
  </si>
  <si>
    <t>Enter your height &amp; weight, HRmax, resting heart rate, and a recent race performance (or best guestimate) in the fields in the upper-left corner of the worksheet.</t>
  </si>
  <si>
    <r>
      <t>When entering times, the format</t>
    </r>
    <r>
      <rPr>
        <b/>
        <sz val="9"/>
        <rFont val="Arial"/>
        <family val="2"/>
      </rPr>
      <t xml:space="preserve"> h:mm:ss</t>
    </r>
    <r>
      <rPr>
        <sz val="9"/>
        <rFont val="Arial"/>
        <family val="2"/>
      </rPr>
      <t xml:space="preserve"> must be used. Hours must be entered, even if zero.  An example 5k time would be  </t>
    </r>
    <r>
      <rPr>
        <b/>
        <sz val="9"/>
        <rFont val="Arial"/>
        <family val="2"/>
      </rPr>
      <t>0:25:42</t>
    </r>
    <r>
      <rPr>
        <sz val="9"/>
        <rFont val="Arial"/>
        <family val="2"/>
      </rPr>
      <t>.</t>
    </r>
  </si>
  <si>
    <r>
      <t xml:space="preserve">Using this information, training paces and racing equivalents are calculated for various workouts and distances, along with a fitness adjusted </t>
    </r>
    <r>
      <rPr>
        <b/>
        <sz val="9"/>
        <rFont val="Arial"/>
        <family val="2"/>
      </rPr>
      <t>Heart Rate</t>
    </r>
    <r>
      <rPr>
        <sz val="9"/>
        <rFont val="Arial"/>
        <family val="2"/>
      </rPr>
      <t xml:space="preserve"> profile.</t>
    </r>
  </si>
  <si>
    <r>
      <t xml:space="preserve">Use the small </t>
    </r>
    <r>
      <rPr>
        <b/>
        <sz val="10"/>
        <rFont val="Arial"/>
        <family val="2"/>
      </rPr>
      <t>(S)</t>
    </r>
    <r>
      <rPr>
        <sz val="10"/>
        <rFont val="Arial"/>
        <family val="2"/>
      </rPr>
      <t xml:space="preserve">how and </t>
    </r>
    <r>
      <rPr>
        <b/>
        <sz val="10"/>
        <rFont val="Arial"/>
        <family val="2"/>
      </rPr>
      <t>(H)</t>
    </r>
    <r>
      <rPr>
        <sz val="10"/>
        <rFont val="Arial"/>
        <family val="2"/>
      </rPr>
      <t>ide</t>
    </r>
    <r>
      <rPr>
        <sz val="9"/>
        <rFont val="Arial"/>
        <family val="2"/>
      </rPr>
      <t xml:space="preserve"> buttons in the HR Tweak section to hide that area. I also manually hide rows 12 (HR Reserve) and 15 (Pace/Km), since I don't need that info.</t>
    </r>
  </si>
  <si>
    <r>
      <t xml:space="preserve">In his book, Daniels shows </t>
    </r>
    <r>
      <rPr>
        <b/>
        <sz val="9"/>
        <rFont val="Arial"/>
        <family val="2"/>
      </rPr>
      <t>Intensity Points</t>
    </r>
    <r>
      <rPr>
        <sz val="9"/>
        <rFont val="Arial"/>
        <family val="2"/>
      </rPr>
      <t xml:space="preserve"> in terms of minutes run. The </t>
    </r>
    <r>
      <rPr>
        <b/>
        <sz val="9"/>
        <rFont val="Arial"/>
        <family val="2"/>
      </rPr>
      <t>Intensity Points Grid</t>
    </r>
    <r>
      <rPr>
        <sz val="9"/>
        <rFont val="Arial"/>
        <family val="2"/>
      </rPr>
      <t xml:space="preserve"> shows </t>
    </r>
    <r>
      <rPr>
        <b/>
        <sz val="9"/>
        <rFont val="Arial"/>
        <family val="2"/>
      </rPr>
      <t>approximate</t>
    </r>
    <r>
      <rPr>
        <sz val="9"/>
        <rFont val="Arial"/>
        <family val="2"/>
      </rPr>
      <t xml:space="preserve"> equivalent point values from the perspective of miles run.</t>
    </r>
  </si>
  <si>
    <t>Hiding Rows:</t>
  </si>
  <si>
    <r>
      <t xml:space="preserve">The columns of the </t>
    </r>
    <r>
      <rPr>
        <b/>
        <sz val="9"/>
        <rFont val="Arial"/>
        <family val="2"/>
      </rPr>
      <t>Intensity Points Grid</t>
    </r>
    <r>
      <rPr>
        <sz val="9"/>
        <rFont val="Arial"/>
        <family val="2"/>
      </rPr>
      <t xml:space="preserve"> align with the training/racing paces and % of HRmax calcs in the Main Section above. For example:</t>
    </r>
  </si>
  <si>
    <r>
      <t xml:space="preserve">A couple of display controls for the </t>
    </r>
    <r>
      <rPr>
        <b/>
        <sz val="9"/>
        <rFont val="Arial"/>
        <family val="2"/>
      </rPr>
      <t>Intensity Points Grid</t>
    </r>
    <r>
      <rPr>
        <sz val="9"/>
        <rFont val="Arial"/>
        <family val="2"/>
      </rPr>
      <t xml:space="preserve"> are located at the lower left of the Main section, including a metric option, and buttons to Hide/Show the entire Points Grid.</t>
    </r>
  </si>
  <si>
    <t>General:</t>
  </si>
  <si>
    <t xml:space="preserve">I developed and use this spreadsheet at a screen resolution of 1600 x 900. My goal was to keep everything as compact as possible, and allow for viewing with no side-to-side </t>
  </si>
  <si>
    <t>Having said that, in my many years of running and using this tool, I find the race time projections to be remarkably accurate. As the saying goes... "Your mileage may vary".</t>
  </si>
  <si>
    <t>This workbook is in .xlsm format, which means  A) It's macro enabled, and  B) It requires Excel version 2007 or newer.  Keep this in mind if you give this spreadsheet to a friend with a very old computer.</t>
  </si>
  <si>
    <t>Info from the Peak Potential section lower down in the worksheet is also displayed in the heading of the Main Section,</t>
  </si>
  <si>
    <t>for more convenient visual access to this hypothetical but interesting calculation. See below for more detals about the Peak Performance calculation.</t>
  </si>
  <si>
    <t>Daniels' VDOT is a sort of normalized representation of relative VO2max. VDOT values were derived with the assumption that aerobic capacity, lactate threshold, and</t>
  </si>
  <si>
    <t>running economy are equal among all runners. Of course, this isn't the case. However, for establishing racing and training intensities, VDOT's normalized factors work very</t>
  </si>
  <si>
    <r>
      <t>well.  To fully understand the concepts behind VDOT, and for excellent overall training insight, I highly recommend picking up a copy of Daniels' book, "</t>
    </r>
    <r>
      <rPr>
        <b/>
        <sz val="9"/>
        <rFont val="Arial"/>
        <family val="2"/>
      </rPr>
      <t>Daniels Running Formula</t>
    </r>
    <r>
      <rPr>
        <sz val="9"/>
        <rFont val="Arial"/>
        <family val="2"/>
      </rPr>
      <t>".</t>
    </r>
  </si>
  <si>
    <t>The formulas Daniels' uses to predict race times for other distances from a given performance are highly complex, and too difficult for me to decipher.</t>
  </si>
  <si>
    <t>However, the model I use (Pete Riegel's formula), tracks very, very closely to Daniels', typically within 2-3 seconds per mile across the entire scope of distances from 5k to Marathon.</t>
  </si>
  <si>
    <t>The formulas I use to calculate Daniels' VDOT, VO2max, Lactate Threshold, training paces, and the effect of weight and temperature are Daniels' actual formulas.</t>
  </si>
  <si>
    <t>The actual point values will vary based on your fitness level, but you will find  that a 10 mile run at 70% of HRmax and a 4 mile run at 1/2 Marathon pace have similar point values.</t>
  </si>
  <si>
    <r>
      <t xml:space="preserve">Nestled within the Points Grid is an </t>
    </r>
    <r>
      <rPr>
        <b/>
        <sz val="9"/>
        <rFont val="Arial"/>
        <family val="2"/>
      </rPr>
      <t>Intensity Points Calculator,</t>
    </r>
    <r>
      <rPr>
        <sz val="9"/>
        <rFont val="Arial"/>
        <family val="2"/>
      </rPr>
      <t xml:space="preserve"> a little tool to calculate and total </t>
    </r>
    <r>
      <rPr>
        <b/>
        <sz val="9"/>
        <rFont val="Arial"/>
        <family val="2"/>
      </rPr>
      <t>Intensity points</t>
    </r>
    <r>
      <rPr>
        <sz val="9"/>
        <rFont val="Arial"/>
        <family val="2"/>
      </rPr>
      <t xml:space="preserve"> for up to 10 runs of various distanced, time, pace, and heart rate.</t>
    </r>
  </si>
  <si>
    <t>Training Zones, Tempo Runs, and General Pace Guidance</t>
  </si>
  <si>
    <t>Daniels advises doing all your workouts based on current fitness level (in other words, a recent race performance), not on some hopeful future goal.</t>
  </si>
  <si>
    <r>
      <rPr>
        <b/>
        <sz val="9"/>
        <rFont val="Arial"/>
        <family val="2"/>
      </rPr>
      <t>Daniels Interval Split Times Calculator</t>
    </r>
    <r>
      <rPr>
        <sz val="9"/>
        <rFont val="Arial"/>
        <family val="2"/>
      </rPr>
      <t xml:space="preserve"> below the Tempo Pace Chart calculates even split times for key Daniels' Interval training paces, </t>
    </r>
  </si>
  <si>
    <t>and has the option of displaying results in US/Imperial or Metric distances.</t>
  </si>
  <si>
    <t xml:space="preserve">but Daniels must have had some reason for omitting this table in the 2nd edition.  Daniels referenced durations representing marathon times in his table.  </t>
  </si>
  <si>
    <r>
      <t xml:space="preserve">but will average any combination of times. The </t>
    </r>
    <r>
      <rPr>
        <b/>
        <sz val="9"/>
        <rFont val="Arial"/>
        <family val="2"/>
      </rPr>
      <t>Multiplier</t>
    </r>
    <r>
      <rPr>
        <sz val="9"/>
        <rFont val="Arial"/>
        <family val="2"/>
      </rPr>
      <t xml:space="preserve"> (default is x1.0) can be used to multiply one or more entries by any desired factor.  One use for this would be to enter a single</t>
    </r>
  </si>
  <si>
    <t>split time, then set the multiplier to some number of desired repetitions. A total time for the number of reps set by the multiplyer will then be calculated.</t>
  </si>
  <si>
    <r>
      <t>Age/Sex Grading Table</t>
    </r>
    <r>
      <rPr>
        <sz val="9"/>
        <rFont val="Arial"/>
        <family val="2"/>
      </rPr>
      <t xml:space="preserve"> of equivalent race efforts. Both the base age and comparison age (vs Age)  can be edited to any age between 5 and 100, and designated as either</t>
    </r>
  </si>
  <si>
    <r>
      <t xml:space="preserve">To the right of the Time Addition/Subbtration calculator  is the </t>
    </r>
    <r>
      <rPr>
        <b/>
        <sz val="9"/>
        <rFont val="Arial"/>
        <family val="2"/>
      </rPr>
      <t>Extended Projection Table</t>
    </r>
    <r>
      <rPr>
        <sz val="9"/>
        <rFont val="Arial"/>
        <family val="2"/>
      </rPr>
      <t>, a more complete listing of race time Projections for various distances. Included is an</t>
    </r>
  </si>
  <si>
    <t>to see who  *really* ran the best effort!  I used averaged factors for each 1 year age division, rather than using the entire data field from the 2015 Age Grading tables.</t>
  </si>
  <si>
    <t>Therefore, these results may differ slightly from other calculators based on the 2015 Age Grading tables.</t>
  </si>
  <si>
    <t xml:space="preserve">To the right of the Extended Projection Table is a Table of Open Class Time Standards taken from the 2015 Age Grading Tables, maintained by Alan Jones. These times represent </t>
  </si>
  <si>
    <t xml:space="preserve">World Records and World Best times. Some of these times have been eclipsed since 2015, but to keep things simple I stuck with the original times from the tables. </t>
  </si>
  <si>
    <t xml:space="preserve">The times in the table are not locked, and can easily be edited if you desire to do so. </t>
  </si>
  <si>
    <t>You'll also notice a listing of distance equivalents for each distance in a very light font to the left of the Open Class Standards Table. I left this data slightly visible because it is used in</t>
  </si>
  <si>
    <t>some of the worksheet formulas. Due to its location, I was concerned if I made the list completely invisible, it may get accidentally erased if someone starts poking around with protection turned off.</t>
  </si>
  <si>
    <t>Besides, occasionlly I need to know what the exact equivalents are in miles for the KM, 1/2 Mar, and Marathon distances, and I find this list handy for that.</t>
  </si>
  <si>
    <t>Below the Extended Projection Table is the Adjusted Time calculator. The Baseline Time defaults to the Entry Time entered by the user at the top of the sheet,</t>
  </si>
  <si>
    <t>but can be overwritten with any time value.  There is a button to restore the original Entry Time if needed.</t>
  </si>
  <si>
    <t>Daniels %</t>
  </si>
  <si>
    <t>of VO2max</t>
  </si>
  <si>
    <t>Mon</t>
  </si>
  <si>
    <t>Tues</t>
  </si>
  <si>
    <t>Wed</t>
  </si>
  <si>
    <t>Thur</t>
  </si>
  <si>
    <t>Fri</t>
  </si>
  <si>
    <t>Sat</t>
  </si>
  <si>
    <t>Sun</t>
  </si>
  <si>
    <t>Jack Daniels Online Training Log</t>
  </si>
  <si>
    <t>The WMA gives the following guidelines for scores:</t>
  </si>
  <si>
    <t>100% - Approximate World Record Level</t>
  </si>
  <si>
    <t>&gt;90% - World Class Level</t>
  </si>
  <si>
    <t>&gt;80% - National Class Level</t>
  </si>
  <si>
    <t>&gt;70% - Regional Class Level</t>
  </si>
  <si>
    <t>&gt;60% - Local Class Level</t>
  </si>
  <si>
    <t xml:space="preserve">To accommodate individual variations, there's a Heart Rate Tweak Factor offering three setting options (Lower, Medium, Higher) to better align the HR calculations to each individual runner. </t>
  </si>
  <si>
    <t>These calculations are approximations, and shouldn't be taken as absolutes. Due to rounding and averaging these results may differ slightly from other similar calculators.</t>
  </si>
  <si>
    <t>Using the 2015 WMA and USATF approved Age Grade Tables, this calculation compares the input time to the world record, factoring in age and sex, and produces a percentage score.</t>
  </si>
  <si>
    <t>Excel Requirements:</t>
  </si>
  <si>
    <t>Age Group Percent Score (AGP):</t>
  </si>
  <si>
    <t xml:space="preserve">The workbook can be "Saved As" to the older .xls format, which should run on older versions of Excel. However, when saved under that format, Excel issues a warning about "Minor Loss of Fidelity". </t>
  </si>
  <si>
    <t>The message goes on to say there are some cells with formatting that is not compatible with older versions Excel. The spreadsheet should still function, but may not look exactly as it should.</t>
  </si>
  <si>
    <t>Run Smart Project (J.Daniels - Head Coach)</t>
  </si>
  <si>
    <t>Higher scores reflect better performances. A score of 100% would represent a world record performance for the Age Group, while a score greater than 100% would imply a record setting performance.</t>
  </si>
  <si>
    <r>
      <t>Alan Jones</t>
    </r>
    <r>
      <rPr>
        <sz val="10"/>
        <rFont val="Arial"/>
        <family val="2"/>
      </rPr>
      <t xml:space="preserve"> -  Maintains WMA/USATF Age Grade Tables. </t>
    </r>
  </si>
  <si>
    <t xml:space="preserve"> </t>
  </si>
  <si>
    <t>USATF Masters - USA Track and Field Age Grading</t>
  </si>
  <si>
    <t>http://usatfmasters.org/wp/2018/08/age-grading/</t>
  </si>
  <si>
    <t xml:space="preserve">Web Page Referenced - </t>
  </si>
  <si>
    <t>When a non-recognized Custom Distance is entered, the Peak Performance sections will reflect "No Std", since there are no standards available for Custom distances.</t>
  </si>
  <si>
    <t>scrolling. If you are using a lower resolution, you wil see less at one time, and may have to deal with scrolling side-to-side.</t>
  </si>
  <si>
    <t>You can change colors, add borders, insert comments, resize or hide rows and columns without disabling protection.</t>
  </si>
  <si>
    <t>Even though protection is enabled to preserve formulas and data, this does not interfere with basic formatting.</t>
  </si>
  <si>
    <t>Race Projections --&gt;</t>
  </si>
  <si>
    <t>P.factor:</t>
  </si>
  <si>
    <t>I'm aware of three sources for methods of determining Weight Grading:</t>
  </si>
  <si>
    <t>1)  Jack Daniels' VDOT based calculations from his 1978 publication, "Oxygen Power".</t>
  </si>
  <si>
    <t>2)  The basic physics formula for energy of motion (KE = .5 × m × v2).</t>
  </si>
  <si>
    <t>3)  The Flyer Handicap, the result of a 2006 study by Paul Vanderburgh and Lloyd Laubach.</t>
  </si>
  <si>
    <t>To simulate Daniels' model use a power factor of  0.83,</t>
  </si>
  <si>
    <t>To simulate the Flyer Handicap model, use a power factor of 0.333</t>
  </si>
  <si>
    <t>The Flyer Handicap produces results slightly less than 1/2 those of Daniels, while the Physics model falls between those two.</t>
  </si>
  <si>
    <t>Larger power factors have a greater effect on the results.</t>
  </si>
  <si>
    <t>Weight Grading:</t>
  </si>
  <si>
    <t>Additional Weight and VO2max Tools:</t>
  </si>
  <si>
    <t>To simulate the physics energy of motion model use a power factor of 0.50.</t>
  </si>
  <si>
    <t>This spreadsheet is distributed with a P.factor of 0.83, but this is adjustable by the user. Choose a power factor best suited to your own personal exeriences.</t>
  </si>
  <si>
    <t>For Extended Table</t>
  </si>
  <si>
    <t>w/ Daniels Formula</t>
  </si>
  <si>
    <t>Open Standard</t>
  </si>
  <si>
    <t>My Peak 5k</t>
  </si>
  <si>
    <t>My Peak 10k</t>
  </si>
  <si>
    <t>Weekly Workload Distribution Chart</t>
  </si>
  <si>
    <t>Weekly Workload Distribution</t>
  </si>
  <si>
    <r>
      <t xml:space="preserve">The </t>
    </r>
    <r>
      <rPr>
        <b/>
        <sz val="9"/>
        <rFont val="Arial"/>
        <family val="2"/>
      </rPr>
      <t>Combined Adjusted Time</t>
    </r>
    <r>
      <rPr>
        <sz val="9"/>
        <rFont val="Arial"/>
        <family val="2"/>
      </rPr>
      <t xml:space="preserve"> section adjusts the Entry Time by the selected adjusments. What you end up with is an overall Equivalent Effort. </t>
    </r>
  </si>
  <si>
    <t>That is, a calculated time you might expect to run under the selected conditions.</t>
  </si>
  <si>
    <t>Weight Grading is applied after Age Grading, therefore, the weight adjusted value will change depending on whether the Age Grading is enabled or disabled.</t>
  </si>
  <si>
    <r>
      <t xml:space="preserve">The </t>
    </r>
    <r>
      <rPr>
        <b/>
        <sz val="9"/>
        <rFont val="Arial"/>
        <family val="2"/>
      </rPr>
      <t>Peak Potential section</t>
    </r>
    <r>
      <rPr>
        <sz val="9"/>
        <rFont val="Arial"/>
        <family val="2"/>
      </rPr>
      <t xml:space="preserve"> allows us to ponder a </t>
    </r>
    <r>
      <rPr>
        <b/>
        <i/>
        <sz val="9"/>
        <rFont val="Arial"/>
        <family val="2"/>
      </rPr>
      <t>hypothetical</t>
    </r>
    <r>
      <rPr>
        <sz val="9"/>
        <rFont val="Arial"/>
        <family val="2"/>
      </rPr>
      <t xml:space="preserve"> maximum perfomance potential at current age and weight. This calculation is made by applying the user's weight and</t>
    </r>
  </si>
  <si>
    <t>If your current race results are not close to your calculated Peak Potential, this implies you still have room for improvement, even at your current age and weight.</t>
  </si>
  <si>
    <r>
      <t xml:space="preserve">The </t>
    </r>
    <r>
      <rPr>
        <b/>
        <sz val="9"/>
        <rFont val="Arial"/>
        <family val="2"/>
      </rPr>
      <t xml:space="preserve">Temperature Grading </t>
    </r>
    <r>
      <rPr>
        <sz val="9"/>
        <rFont val="Arial"/>
        <family val="2"/>
      </rPr>
      <t xml:space="preserve">section calculates approximate time adustments for race temperatures greater than 60 degrees fahrenheit. </t>
    </r>
  </si>
  <si>
    <r>
      <t xml:space="preserve">The </t>
    </r>
    <r>
      <rPr>
        <b/>
        <sz val="10"/>
        <rFont val="Arial"/>
        <family val="2"/>
      </rPr>
      <t xml:space="preserve">Age Grading </t>
    </r>
    <r>
      <rPr>
        <sz val="10"/>
        <rFont val="Arial"/>
        <family val="2"/>
      </rPr>
      <t>section calculates an equivalent time effort for an Open Class Elite runner competing under optimal conditions.</t>
    </r>
    <r>
      <rPr>
        <b/>
        <sz val="10"/>
        <rFont val="Arial"/>
        <family val="2"/>
      </rPr>
      <t/>
    </r>
  </si>
  <si>
    <t>The default value can be overwritten. There is a "Use Stillman" button which restores the Stillman calculation to both this section and the Time Grading Section above.</t>
  </si>
  <si>
    <r>
      <t xml:space="preserve">You can take this </t>
    </r>
    <r>
      <rPr>
        <b/>
        <i/>
        <sz val="9"/>
        <rFont val="Arial"/>
        <family val="2"/>
      </rPr>
      <t>hypothetical</t>
    </r>
    <r>
      <rPr>
        <sz val="9"/>
        <rFont val="Arial"/>
        <family val="2"/>
      </rPr>
      <t xml:space="preserve"> analysis one step further, by adding a change in weight to the calculation.</t>
    </r>
  </si>
  <si>
    <t>** These are calculated estimations based on science, not guaranteed results. The intention is to give some general insight into potential max performance.</t>
  </si>
  <si>
    <t>The weight entry defaults to the Stillman Ideal Weight calculation for Long Distance Runners, and is based on the User info for height and sex.</t>
  </si>
  <si>
    <r>
      <t xml:space="preserve">The last section going down is the </t>
    </r>
    <r>
      <rPr>
        <b/>
        <sz val="9"/>
        <rFont val="Arial"/>
        <family val="2"/>
      </rPr>
      <t>Workload Distribution Chart</t>
    </r>
    <r>
      <rPr>
        <sz val="9"/>
        <rFont val="Arial"/>
        <family val="2"/>
      </rPr>
      <t>, which can be used to calculate what percentage each level of training contributes to total weekly mileage. Too much speed / quality</t>
    </r>
  </si>
  <si>
    <t>Dr. Stillman Ideal Running Weight.</t>
  </si>
  <si>
    <t>Calculator:</t>
  </si>
  <si>
    <t>https://runbundle.com/tools/stillman-weight-calculator</t>
  </si>
  <si>
    <t>More Info:</t>
  </si>
  <si>
    <t>https://cicerunner.wordpress.com/2014/06/01/stillman-running-weight/</t>
  </si>
  <si>
    <t>Absolute VO2max</t>
  </si>
  <si>
    <t>Absolute VO2max (Liters/Min) = weight (kg) x VDOT / 1000</t>
  </si>
  <si>
    <r>
      <t>Continuing down the worksheet are a couple sections for analyzing healthy weight ranges for athletes (</t>
    </r>
    <r>
      <rPr>
        <b/>
        <sz val="9"/>
        <rFont val="Arial"/>
        <family val="2"/>
      </rPr>
      <t>BMI and Dr Stillman guidelines</t>
    </r>
    <r>
      <rPr>
        <sz val="9"/>
        <rFont val="Arial"/>
        <family val="2"/>
      </rPr>
      <t xml:space="preserve">), and a table of Miscellaneous </t>
    </r>
    <r>
      <rPr>
        <b/>
        <sz val="9"/>
        <rFont val="Arial"/>
        <family val="2"/>
      </rPr>
      <t>O2 Consumption calculations.</t>
    </r>
  </si>
  <si>
    <t>* Red text on yellow background indicates weight below both BMI minimum &amp; Stillman Ideal</t>
  </si>
  <si>
    <t>The Daniels factor is most optimistic in terms of time improvement per pound lost, and is closest to the often cited "2 seconds per pound per mile" generalization.</t>
  </si>
  <si>
    <t>The Entry Time Grading &amp; Peak Potential sections will only calculate down to the BMI / Stillman minimums, and won't calculate a weight adjusted time lower than the Age Standard.</t>
  </si>
  <si>
    <t>Any time a calculated weight or BMI falls below both the BMI minimum and the Stillman Ideal Weight values, the field will be flagged with red text on a yellow background.</t>
  </si>
  <si>
    <t>Dr Stillman's table dips below BMI 18.5 in many cases. For time calculations affected by weight, the smaller value between minium BMI and Stillman is used.</t>
  </si>
  <si>
    <r>
      <t xml:space="preserve">Curious how much faster you'd  be if you dropped 5 or 10 pounds of unnecessary fat? The </t>
    </r>
    <r>
      <rPr>
        <b/>
        <sz val="9"/>
        <rFont val="Arial"/>
        <family val="2"/>
      </rPr>
      <t>Projected Impact of Weight</t>
    </r>
    <r>
      <rPr>
        <sz val="9"/>
        <rFont val="Arial"/>
        <family val="2"/>
      </rPr>
      <t xml:space="preserve"> calculation will give you an estimate of that.</t>
    </r>
  </si>
  <si>
    <t>However, the benefits of weight loss only apply to a certain point. Excessive weight loss is not healthy, and could lead to poorer performances and health issues.</t>
  </si>
  <si>
    <t>This worksheet uses a combination of BMI and Dr. Stillman's Ideal Weight tables. The lowest BMI considered healthy for both women and men is 18.5. However, this scale</t>
  </si>
  <si>
    <t>doesn't work so well for the very tall, the very short, or athletes. The BMI scale also makes no distinction between male and female. These are all recognized shortcomings of BMI.</t>
  </si>
  <si>
    <r>
      <t xml:space="preserve">Also keep in mind that while time gains through weight loss are real and can be significant, these are just scienticifically based </t>
    </r>
    <r>
      <rPr>
        <b/>
        <sz val="9"/>
        <rFont val="Arial"/>
        <family val="2"/>
      </rPr>
      <t>estimates</t>
    </r>
    <r>
      <rPr>
        <sz val="9"/>
        <rFont val="Arial"/>
        <family val="2"/>
      </rPr>
      <t>, not hard and fast rules.</t>
    </r>
  </si>
  <si>
    <r>
      <t xml:space="preserve">The </t>
    </r>
    <r>
      <rPr>
        <b/>
        <sz val="9"/>
        <rFont val="Arial"/>
        <family val="2"/>
      </rPr>
      <t xml:space="preserve">Weight Grading </t>
    </r>
    <r>
      <rPr>
        <sz val="9"/>
        <rFont val="Arial"/>
        <family val="2"/>
      </rPr>
      <t xml:space="preserve">section calculates approximate time adustments for a user enterable weight change. </t>
    </r>
  </si>
  <si>
    <t>** Note that The Entry Time Grading &amp; Peak Potential sections will only calculate down to the BMI / Stillman minimums, and won't calculate a weight adjusted time lower than the Age Standard.</t>
  </si>
  <si>
    <r>
      <t>Daniels' Training Tables</t>
    </r>
    <r>
      <rPr>
        <sz val="8"/>
        <rFont val="Arial"/>
        <family val="2"/>
      </rPr>
      <t xml:space="preserve"> Rev3.01.03</t>
    </r>
  </si>
  <si>
    <t>The worksheet is protected and behind the scenes data tables are hidden to prevent accidental overwriting of formulas and data, but there is no password on the protection.</t>
  </si>
  <si>
    <t>Weight Grading</t>
  </si>
  <si>
    <t>Stillman Defaults</t>
  </si>
  <si>
    <t xml:space="preserve">By adjusting the ^X Power Factor (P.factor) in the following general formula, the various Weight Grading models can be represented:  Time2 = Time1*(Weight2/Weight1)^X. </t>
  </si>
  <si>
    <t>The weight entry defaults to the Stillman Ideal Weight calculation for Medium Distance Runners, and is based on the User info for height and sex. The default value can be overwritten.</t>
  </si>
  <si>
    <t>Fast runners will see a smaller time improvement per excess pound lost compared to slower runners. Likewise, heavier runners will see smaller improvement compared to lighter runners.</t>
  </si>
  <si>
    <t>Be aware that because this calculation is based on a relationship between weight and time percentages, the results are not linear for all runner types.</t>
  </si>
  <si>
    <t>I'm not suggesting every runner should aspire to achieve a BMI of 18.5. This may be a good goal for a top tier runner, but may not be realistic for others.</t>
  </si>
  <si>
    <t>These options offer three different base choices for a target weight goal. They produce some really low weights… but then, elite runners are *very* skinny.</t>
  </si>
  <si>
    <t>There are buttons to select the Stillman Ideal weight for Middle or Long Distance runners, or the weight corresponding to BMI 18.5.</t>
  </si>
  <si>
    <t>Set the a target from the three options you feel best fits your situation, or manually enter in your own realistic target weight.</t>
  </si>
  <si>
    <t>Pace KM</t>
  </si>
  <si>
    <t>MP pace KM</t>
  </si>
  <si>
    <t>MP pace mile</t>
  </si>
  <si>
    <t>Vo2 Max=0.85158</t>
  </si>
  <si>
    <t>LT=0.92</t>
  </si>
  <si>
    <t>Slow 25%</t>
  </si>
  <si>
    <t>Slow 20%</t>
  </si>
  <si>
    <t>Slow 15%</t>
  </si>
  <si>
    <t>Slow 10%</t>
  </si>
  <si>
    <t>MP</t>
  </si>
  <si>
    <t>Marathon Target</t>
  </si>
  <si>
    <t>GA</t>
  </si>
  <si>
    <t>MLR/LR</t>
  </si>
  <si>
    <t>10 x 100 meter strides with 100 meter recovery between</t>
  </si>
  <si>
    <t>4-8 mile easy/aerobic run</t>
  </si>
  <si>
    <t>Workout #3 - After an easy run</t>
  </si>
  <si>
    <t>1-2 mile cool down</t>
  </si>
  <si>
    <t>6-10 x 20 second strides with 40 second recovery</t>
  </si>
  <si>
    <t>1-2 mile warm up</t>
  </si>
  <si>
    <t>Workout #2 - In the middle of an easy run</t>
  </si>
  <si>
    <t>Follow it with a workout (tempo run, intervals, etc) and a cool down</t>
  </si>
  <si>
    <t>6-10 x 100 meter strides with 100 meter recovery between</t>
  </si>
  <si>
    <t>5-10 minute warm up</t>
  </si>
  <si>
    <t>Workout #1 - Before a speed session</t>
  </si>
  <si>
    <t>VO2Max: Joging 50%~90% of running time in between, can use 70%</t>
  </si>
  <si>
    <t>Strides usually start at your conversation or easy aerobic pace. Then you increase your speed gradually over the specific distance or time you've designated for your strides, and focus on your form (chest up, knees lifted, a mid foot strike). Towards the end, you want to slow back down to a conversation pace and allow a recovery period before the next stride. Here are a few samples of how to incorporate strides into your training workouts:</t>
  </si>
  <si>
    <t>VO2Max</t>
  </si>
  <si>
    <t>How to do strides in your training:</t>
  </si>
  <si>
    <t>10K Race</t>
  </si>
  <si>
    <t>TuneUp Race(10K Pace)</t>
  </si>
  <si>
    <t>MP = Marathon (Race) Pace</t>
  </si>
  <si>
    <t>0.85158 x MP or 5k Race</t>
  </si>
  <si>
    <t>Vo2 Max Run</t>
  </si>
  <si>
    <t>15K or HMP pace</t>
  </si>
  <si>
    <t>LT = Lactate Threshold</t>
  </si>
  <si>
    <t>MPx1.10 or 1.2</t>
  </si>
  <si>
    <t>LR = Long Run,26-33k</t>
  </si>
  <si>
    <t>MLR = Medium Long Run 19-24k</t>
  </si>
  <si>
    <t>MPx1.15 or 1.25</t>
  </si>
  <si>
    <t>GA = General Aerobic</t>
  </si>
  <si>
    <t>Base on HR</t>
  </si>
  <si>
    <t>RR =  Recovery</t>
  </si>
  <si>
    <t>Best try / form</t>
  </si>
  <si>
    <t>Up to Max</t>
  </si>
  <si>
    <t>Stride</t>
  </si>
  <si>
    <t>Pace Upper Limit</t>
  </si>
  <si>
    <t>Pace Lower Limit</t>
  </si>
  <si>
    <t>% of Heart Rate Reserve</t>
  </si>
  <si>
    <t>HR Upper Limit</t>
  </si>
  <si>
    <t>% of MaxHR</t>
  </si>
  <si>
    <t xml:space="preserve"> HR Upper Limit</t>
  </si>
  <si>
    <t>Max Heart Rate:</t>
  </si>
  <si>
    <t>42.195KM
Race Day!</t>
  </si>
  <si>
    <t>Rest!</t>
  </si>
  <si>
    <t xml:space="preserve">35km
Actual:
Total: </t>
  </si>
  <si>
    <t>Rest or Cross Training
- Swimming</t>
  </si>
  <si>
    <t xml:space="preserve">51km
Actual:
Total: </t>
  </si>
  <si>
    <t xml:space="preserve">69-73km
Actual:
Total: </t>
  </si>
  <si>
    <t>Taper and Race 
[Taper]
159/1274</t>
  </si>
  <si>
    <t xml:space="preserve">83km
Actual:
Total: </t>
  </si>
  <si>
    <t xml:space="preserve">78-85km
Actual:
Total: </t>
  </si>
  <si>
    <t xml:space="preserve">81-88k
Actual:
Total: </t>
  </si>
  <si>
    <t>Race Preparation [VO2Max]
339/1115</t>
  </si>
  <si>
    <t xml:space="preserve">88 km
Actual:
Total: </t>
  </si>
  <si>
    <t xml:space="preserve">70 km
Actual:
Total: </t>
  </si>
  <si>
    <t xml:space="preserve">79 km
Actual:
Total: </t>
  </si>
  <si>
    <t xml:space="preserve">86 km
Actual:
Total: </t>
  </si>
  <si>
    <t>Rest or Cross Training</t>
  </si>
  <si>
    <t xml:space="preserve">80 km
Actual:
Total: </t>
  </si>
  <si>
    <t>Lactate Threshold + Endurance
[LT]
  403/776</t>
  </si>
  <si>
    <t xml:space="preserve">59 km
Actual:
Total: </t>
  </si>
  <si>
    <t xml:space="preserve">72 km
Actual:
Total: </t>
  </si>
  <si>
    <t xml:space="preserve">67 km
Actual:
Total: </t>
  </si>
  <si>
    <t xml:space="preserve">64 km
Actual:
Total: </t>
  </si>
  <si>
    <t xml:space="preserve">58 km
Actual:
Total: </t>
  </si>
  <si>
    <t xml:space="preserve">53 km
Actual:
Total: </t>
  </si>
  <si>
    <t>Endurance [Base] 
373/373</t>
  </si>
  <si>
    <t>SUN</t>
  </si>
  <si>
    <t>SAT</t>
  </si>
  <si>
    <t>FRI</t>
  </si>
  <si>
    <t>Thu</t>
  </si>
  <si>
    <t>Tue</t>
  </si>
  <si>
    <t>Week</t>
  </si>
  <si>
    <t>Goal</t>
  </si>
  <si>
    <t>输入比赛日期
Input Race Date 
(A Sunday):</t>
  </si>
  <si>
    <t>Training Type</t>
  </si>
  <si>
    <t>HR Range</t>
  </si>
  <si>
    <t>Max HR%</t>
  </si>
  <si>
    <t>5K</t>
  </si>
  <si>
    <t>15K</t>
  </si>
  <si>
    <t>HMP</t>
  </si>
  <si>
    <t>06:15</t>
  </si>
  <si>
    <t>06:41</t>
  </si>
  <si>
    <t>06:49</t>
  </si>
  <si>
    <t>06:30</t>
  </si>
  <si>
    <t>输入最大心率 Max HR:</t>
  </si>
  <si>
    <t>06:08</t>
  </si>
  <si>
    <t>06:23</t>
  </si>
  <si>
    <t>MP（马速）</t>
  </si>
  <si>
    <t>06:02</t>
  </si>
  <si>
    <t>06:27</t>
  </si>
  <si>
    <t>06:35</t>
  </si>
  <si>
    <t>06:16</t>
  </si>
  <si>
    <t>INT （5K Pace）</t>
  </si>
  <si>
    <t>05:55</t>
  </si>
  <si>
    <t>06:19</t>
  </si>
  <si>
    <t>06:28</t>
  </si>
  <si>
    <t>06:09</t>
  </si>
  <si>
    <t>LT（15k-HMP）</t>
  </si>
  <si>
    <t>05:49</t>
  </si>
  <si>
    <t>06:13</t>
  </si>
  <si>
    <t>06:21</t>
  </si>
  <si>
    <t>06:03</t>
  </si>
  <si>
    <t>LR（10-20 slower）</t>
  </si>
  <si>
    <t>05:42</t>
  </si>
  <si>
    <t>06:05</t>
  </si>
  <si>
    <t>GA（15-25 Slower）</t>
  </si>
  <si>
    <t>05:35</t>
  </si>
  <si>
    <t>05:58</t>
  </si>
  <si>
    <t>06:06</t>
  </si>
  <si>
    <t>05:48</t>
  </si>
  <si>
    <t>RR（30% Slower）</t>
  </si>
  <si>
    <t>&lt;</t>
  </si>
  <si>
    <t>05:29</t>
  </si>
  <si>
    <t>05:51</t>
  </si>
  <si>
    <t>05:41</t>
  </si>
  <si>
    <t>TuneUp Race(10k Pace)</t>
  </si>
  <si>
    <t>05:22</t>
  </si>
  <si>
    <t>05:44</t>
  </si>
  <si>
    <t>05:52</t>
  </si>
  <si>
    <t>05:16</t>
  </si>
  <si>
    <t>05:37</t>
  </si>
  <si>
    <t>05:28</t>
  </si>
  <si>
    <t>To find out your Max HR:</t>
  </si>
  <si>
    <t>Max HR</t>
  </si>
  <si>
    <t>-10</t>
  </si>
  <si>
    <t>+10</t>
  </si>
  <si>
    <t>05:09</t>
  </si>
  <si>
    <t>05:30</t>
  </si>
  <si>
    <t>05:21</t>
  </si>
  <si>
    <t>05:03</t>
  </si>
  <si>
    <t>05:23</t>
  </si>
  <si>
    <t>05:14</t>
  </si>
  <si>
    <t>04:56</t>
  </si>
  <si>
    <t>05:08</t>
  </si>
  <si>
    <t>3. Test run to measure your Maxium HR</t>
  </si>
  <si>
    <t>04:50</t>
  </si>
  <si>
    <t>05:01</t>
  </si>
  <si>
    <t>ST</t>
  </si>
  <si>
    <t>Strength Training</t>
  </si>
  <si>
    <t>04:43</t>
  </si>
  <si>
    <t>05:02</t>
  </si>
  <si>
    <t>04:54</t>
  </si>
  <si>
    <t>General Aerobic</t>
  </si>
  <si>
    <t>04:37</t>
  </si>
  <si>
    <t>04:55</t>
  </si>
  <si>
    <t>04:48</t>
  </si>
  <si>
    <t>LT</t>
  </si>
  <si>
    <t>Lactate Threshold</t>
  </si>
  <si>
    <t>04:31</t>
  </si>
  <si>
    <t>04:41</t>
  </si>
  <si>
    <t>RR</t>
  </si>
  <si>
    <t>Recovery Run</t>
  </si>
  <si>
    <t>04:24</t>
  </si>
  <si>
    <t>04:34</t>
  </si>
  <si>
    <t>MLR</t>
  </si>
  <si>
    <t>Long Run (less than 25KM)</t>
  </si>
  <si>
    <t>04:17</t>
  </si>
  <si>
    <t>04:40</t>
  </si>
  <si>
    <t>04:27</t>
  </si>
  <si>
    <t>LR</t>
  </si>
  <si>
    <t>Long Run</t>
  </si>
  <si>
    <t>04:11</t>
  </si>
  <si>
    <t>04:21</t>
  </si>
  <si>
    <t>Marathon Pace</t>
  </si>
  <si>
    <t>04:05</t>
  </si>
  <si>
    <t>04:20</t>
  </si>
  <si>
    <t>04:26</t>
  </si>
  <si>
    <t>04:14</t>
  </si>
  <si>
    <t>STD</t>
  </si>
  <si>
    <t>100M Stride</t>
  </si>
  <si>
    <t>03:58</t>
  </si>
  <si>
    <t>04:07</t>
  </si>
  <si>
    <t>VOM</t>
  </si>
  <si>
    <t>03:52</t>
  </si>
  <si>
    <t>04:13</t>
  </si>
  <si>
    <t>04:01</t>
  </si>
  <si>
    <t>INT</t>
  </si>
  <si>
    <t>Interval Run</t>
  </si>
  <si>
    <t>03:46</t>
  </si>
  <si>
    <t>04:00</t>
  </si>
  <si>
    <t>04:06</t>
  </si>
  <si>
    <t>03:54</t>
  </si>
  <si>
    <t>JOG</t>
  </si>
  <si>
    <t>Jogging</t>
  </si>
  <si>
    <t>03:39</t>
  </si>
  <si>
    <t>03:53</t>
  </si>
  <si>
    <t>03:59</t>
  </si>
  <si>
    <t>03:47</t>
  </si>
  <si>
    <t>03:33</t>
  </si>
  <si>
    <t>03:51</t>
  </si>
  <si>
    <t>03:41</t>
  </si>
  <si>
    <t>03:27</t>
  </si>
  <si>
    <t>03:44</t>
  </si>
  <si>
    <t>03:34</t>
  </si>
  <si>
    <t>03:20</t>
  </si>
  <si>
    <t>03:37</t>
  </si>
  <si>
    <t>03:28</t>
  </si>
  <si>
    <t>输入休息心率 Rest HR:</t>
  </si>
  <si>
    <t>输入生日Bday (yyyy-mm-dd ):</t>
  </si>
  <si>
    <t>Age:</t>
  </si>
  <si>
    <r>
      <t xml:space="preserve">1. MaxHR =(220-Age) </t>
    </r>
    <r>
      <rPr>
        <b/>
        <u/>
        <sz val="14"/>
        <color rgb="FF000000"/>
        <rFont val="Calibri"/>
        <family val="2"/>
      </rPr>
      <t>+</t>
    </r>
    <r>
      <rPr>
        <b/>
        <sz val="14"/>
        <color rgb="FF000000"/>
        <rFont val="Calibri"/>
        <family val="2"/>
      </rPr>
      <t xml:space="preserve"> (5~10)</t>
    </r>
  </si>
  <si>
    <r>
      <t xml:space="preserve">2. MaxHR =(207-0.7*Age) </t>
    </r>
    <r>
      <rPr>
        <b/>
        <u/>
        <sz val="14"/>
        <color rgb="FF000000"/>
        <rFont val="Calibri"/>
        <family val="2"/>
      </rPr>
      <t>+</t>
    </r>
    <r>
      <rPr>
        <b/>
        <sz val="14"/>
        <color rgb="FF000000"/>
        <rFont val="Calibri"/>
        <family val="2"/>
      </rPr>
      <t xml:space="preserve"> (5~10)</t>
    </r>
  </si>
  <si>
    <t>输入全马目标完成时间 Goal:</t>
  </si>
  <si>
    <t>HHR%</t>
  </si>
  <si>
    <t>Max HR:</t>
  </si>
  <si>
    <t>Finish Goal:</t>
  </si>
  <si>
    <t xml:space="preserve">***AM55马拉松训练基本资料来自互联网，INT, LT, 10K Pace 由Jack Daniel 的马拉松训练表计算获得，心率按下列表格计算，经过整理加工，插入到AM55训练的每个训练日，便于跑友参考和更好地进行训练。
如对此表格有技术问题或建议，请联系: rob.mc2008@gmail.com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</si>
</sst>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2">
    <numFmt numFmtId="164" formatCode="m:ss"/>
    <numFmt numFmtId="165" formatCode="#.0##"/>
    <numFmt numFmtId="166" formatCode="m:ss\ &quot;mile&quot;"/>
    <numFmt numFmtId="167" formatCode="m:ss\ &quot;km&quot;"/>
    <numFmt numFmtId="168" formatCode="0.0#&quot;k&quot;"/>
    <numFmt numFmtId="169" formatCode="&quot;Meters -&quot;\ 0.0"/>
    <numFmt numFmtId="170" formatCode="0.00000"/>
    <numFmt numFmtId="171" formatCode="&quot;% V02max = &quot;0.0.%"/>
    <numFmt numFmtId="172" formatCode="0.0"/>
    <numFmt numFmtId="173" formatCode="0.0%"/>
    <numFmt numFmtId="174" formatCode="0.0000000"/>
    <numFmt numFmtId="175" formatCode="m:ss.000"/>
    <numFmt numFmtId="176" formatCode="0.000"/>
    <numFmt numFmtId="177" formatCode="0.0000"/>
    <numFmt numFmtId="178" formatCode="0.0\ \ \ \ "/>
    <numFmt numFmtId="179" formatCode="0.000000"/>
    <numFmt numFmtId="180" formatCode="0\ &quot;min&quot;"/>
    <numFmt numFmtId="181" formatCode="[h]:mm"/>
    <numFmt numFmtId="182" formatCode="[m]:ss"/>
    <numFmt numFmtId="183" formatCode="&quot;(R)epetition :&quot;\ m:ss"/>
    <numFmt numFmtId="184" formatCode="&quot;(I)nterval :&quot;\ m:ss"/>
    <numFmt numFmtId="185" formatCode="&quot;(T)hreshold :&quot;\ m:ss"/>
    <numFmt numFmtId="186" formatCode="&quot;1500/Mile:&quot;\ m:ss"/>
    <numFmt numFmtId="187" formatCode="&quot;5k Pace:&quot;\ [m]:ss"/>
    <numFmt numFmtId="188" formatCode="&quot;10k Pace:&quot;\ [m]:ss"/>
    <numFmt numFmtId="189" formatCode="[h]:mm:ss;@"/>
    <numFmt numFmtId="190" formatCode="[m]:ss;@"/>
    <numFmt numFmtId="191" formatCode="[m]:ss.0\ &quot;avg&quot;"/>
    <numFmt numFmtId="192" formatCode="0\ &quot;Splits&quot;"/>
    <numFmt numFmtId="193" formatCode="&quot;x&quot;\ 0.0"/>
    <numFmt numFmtId="194" formatCode="&quot;-&quot;\ h:mm:ss"/>
    <numFmt numFmtId="195" formatCode="&quot;(vdot &quot;\ 0.0&quot;)&quot;"/>
    <numFmt numFmtId="196" formatCode="&quot;Age&quot;\ \ 0"/>
    <numFmt numFmtId="197" formatCode="&quot;VDOT  =  &quot;0.0"/>
    <numFmt numFmtId="198" formatCode="&quot;Current Weight - &quot;0"/>
    <numFmt numFmtId="199" formatCode="&quot;VDOT - &quot;0.0"/>
    <numFmt numFmtId="200" formatCode="m:ss\ &quot;/mi&quot;"/>
    <numFmt numFmtId="201" formatCode="m:ss\ &quot;/km&quot;"/>
    <numFmt numFmtId="202" formatCode="0\°"/>
    <numFmt numFmtId="203" formatCode="0.0\ &quot;Mi&quot;"/>
    <numFmt numFmtId="204" formatCode="0.0000\ &quot;km&quot;"/>
    <numFmt numFmtId="205" formatCode="0.0\ &quot;liters / min&quot;"/>
    <numFmt numFmtId="206" formatCode="[h]:mm\ &quot;/mi&quot;"/>
    <numFmt numFmtId="207" formatCode="0.0\ &quot;lb&quot;"/>
    <numFmt numFmtId="208" formatCode="0.0000\ &quot;kg&quot;"/>
    <numFmt numFmtId="209" formatCode="0.0\ &quot;in&quot;"/>
    <numFmt numFmtId="210" formatCode="0.0000\ &quot;cm&quot;"/>
    <numFmt numFmtId="211" formatCode="0.0\ &quot;km&quot;"/>
    <numFmt numFmtId="212" formatCode="0.0000\ &quot;miles&quot;"/>
    <numFmt numFmtId="213" formatCode="[h]:mm\ &quot;/km&quot;"/>
    <numFmt numFmtId="214" formatCode="0.0\ &quot;kg&quot;"/>
    <numFmt numFmtId="215" formatCode="0.0000\ &quot;lb&quot;"/>
    <numFmt numFmtId="216" formatCode="0.0\ &quot;cm&quot;"/>
    <numFmt numFmtId="217" formatCode="0.0000\ &quot;in&quot;"/>
    <numFmt numFmtId="218" formatCode="0\ &quot;sec&quot;"/>
    <numFmt numFmtId="219" formatCode="0.00\ &quot;mph&quot;"/>
    <numFmt numFmtId="220" formatCode="0.00\ &quot;kph&quot;"/>
    <numFmt numFmtId="221" formatCode="&quot;VDOT = &quot;0.00"/>
    <numFmt numFmtId="222" formatCode="&quot;Miles - &quot;0.00000"/>
    <numFmt numFmtId="223" formatCode="&quot;BMI - &quot;0.00"/>
    <numFmt numFmtId="224" formatCode="&quot;BMI&quot;\ \ 0.00"/>
    <numFmt numFmtId="225" formatCode="0;[Red]0"/>
  </numFmts>
  <fonts count="103" x14ac:knownFonts="1">
    <font>
      <sz val="10"/>
      <name val="Arial"/>
      <family val="2"/>
    </font>
    <font>
      <sz val="10"/>
      <name val="Arial"/>
      <family val="2"/>
    </font>
    <font>
      <sz val="9"/>
      <name val="Arial"/>
      <family val="2"/>
    </font>
    <font>
      <b/>
      <sz val="9"/>
      <color indexed="12"/>
      <name val="Arial"/>
      <family val="2"/>
    </font>
    <font>
      <b/>
      <sz val="8"/>
      <color indexed="12"/>
      <name val="Arial"/>
      <family val="2"/>
    </font>
    <font>
      <b/>
      <sz val="14"/>
      <name val="Arial"/>
      <family val="2"/>
    </font>
    <font>
      <sz val="8"/>
      <name val="Arial"/>
      <family val="2"/>
    </font>
    <font>
      <b/>
      <sz val="8"/>
      <name val="Arial"/>
      <family val="2"/>
    </font>
    <font>
      <sz val="10"/>
      <color indexed="22"/>
      <name val="Arial"/>
      <family val="2"/>
    </font>
    <font>
      <sz val="7"/>
      <name val="Arial"/>
      <family val="2"/>
    </font>
    <font>
      <b/>
      <sz val="7"/>
      <name val="Arial"/>
      <family val="2"/>
    </font>
    <font>
      <sz val="8"/>
      <color indexed="10"/>
      <name val="Arial"/>
      <family val="2"/>
    </font>
    <font>
      <b/>
      <sz val="8"/>
      <color indexed="10"/>
      <name val="Arial"/>
      <family val="2"/>
    </font>
    <font>
      <b/>
      <sz val="9"/>
      <name val="Arial"/>
      <family val="2"/>
    </font>
    <font>
      <sz val="10"/>
      <color theme="0" tint="-0.24994659260841701"/>
      <name val="Arial"/>
      <family val="2"/>
    </font>
    <font>
      <b/>
      <sz val="8"/>
      <color theme="0" tint="-0.24994659260841701"/>
      <name val="Arial"/>
      <family val="2"/>
    </font>
    <font>
      <sz val="6"/>
      <name val="Arial"/>
      <family val="2"/>
    </font>
    <font>
      <b/>
      <sz val="9"/>
      <color indexed="15"/>
      <name val="Arial"/>
      <family val="2"/>
    </font>
    <font>
      <b/>
      <sz val="8"/>
      <color indexed="15"/>
      <name val="Arial"/>
      <family val="2"/>
    </font>
    <font>
      <b/>
      <sz val="10"/>
      <color indexed="15"/>
      <name val="Arial"/>
      <family val="2"/>
    </font>
    <font>
      <b/>
      <sz val="10"/>
      <name val="Arial"/>
      <family val="2"/>
    </font>
    <font>
      <b/>
      <sz val="10"/>
      <color indexed="22"/>
      <name val="Arial"/>
      <family val="2"/>
    </font>
    <font>
      <b/>
      <sz val="9"/>
      <color indexed="60"/>
      <name val="Arial"/>
      <family val="2"/>
    </font>
    <font>
      <u/>
      <sz val="10"/>
      <color indexed="12"/>
      <name val="Arial"/>
      <family val="2"/>
    </font>
    <font>
      <u/>
      <sz val="8"/>
      <color indexed="12"/>
      <name val="Arial"/>
      <family val="2"/>
    </font>
    <font>
      <b/>
      <sz val="8"/>
      <name val="Tahoma"/>
      <family val="2"/>
    </font>
    <font>
      <sz val="9"/>
      <name val="Tahoma"/>
      <family val="2"/>
    </font>
    <font>
      <b/>
      <u/>
      <sz val="10"/>
      <color indexed="12"/>
      <name val="Arial"/>
      <family val="2"/>
    </font>
    <font>
      <sz val="7.5"/>
      <name val="Arial"/>
      <family val="2"/>
    </font>
    <font>
      <sz val="8"/>
      <color indexed="12"/>
      <name val="Arial"/>
      <family val="2"/>
    </font>
    <font>
      <sz val="9"/>
      <color indexed="49"/>
      <name val="Arial"/>
      <family val="2"/>
    </font>
    <font>
      <b/>
      <sz val="8"/>
      <color indexed="22"/>
      <name val="Arial"/>
      <family val="2"/>
    </font>
    <font>
      <b/>
      <u/>
      <sz val="9"/>
      <name val="Arial"/>
      <family val="2"/>
    </font>
    <font>
      <u/>
      <sz val="9"/>
      <color indexed="12"/>
      <name val="Arial"/>
      <family val="2"/>
    </font>
    <font>
      <sz val="10"/>
      <color theme="0"/>
      <name val="Arial"/>
      <family val="2"/>
    </font>
    <font>
      <sz val="8"/>
      <color indexed="22"/>
      <name val="Arial"/>
      <family val="2"/>
    </font>
    <font>
      <b/>
      <sz val="10"/>
      <color indexed="12"/>
      <name val="Arial"/>
      <family val="2"/>
    </font>
    <font>
      <sz val="7"/>
      <color indexed="40"/>
      <name val="Arial"/>
      <family val="2"/>
    </font>
    <font>
      <b/>
      <sz val="10"/>
      <color indexed="60"/>
      <name val="Arial"/>
      <family val="2"/>
    </font>
    <font>
      <sz val="8"/>
      <color indexed="55"/>
      <name val="Arial"/>
      <family val="2"/>
    </font>
    <font>
      <b/>
      <sz val="10"/>
      <color indexed="51"/>
      <name val="Arial"/>
      <family val="2"/>
    </font>
    <font>
      <sz val="10"/>
      <color indexed="44"/>
      <name val="Arial"/>
      <family val="2"/>
    </font>
    <font>
      <sz val="9"/>
      <color indexed="12"/>
      <name val="Arial"/>
      <family val="2"/>
    </font>
    <font>
      <sz val="9"/>
      <color indexed="44"/>
      <name val="Arial"/>
      <family val="2"/>
    </font>
    <font>
      <sz val="12"/>
      <name val="Arial"/>
      <family val="2"/>
    </font>
    <font>
      <b/>
      <sz val="12"/>
      <color indexed="12"/>
      <name val="Arial"/>
      <family val="2"/>
    </font>
    <font>
      <sz val="10"/>
      <color indexed="81"/>
      <name val="Tahoma"/>
      <family val="2"/>
    </font>
    <font>
      <b/>
      <sz val="10"/>
      <color indexed="81"/>
      <name val="Tahoma"/>
      <family val="2"/>
    </font>
    <font>
      <sz val="8"/>
      <color indexed="81"/>
      <name val="Tahoma"/>
      <family val="2"/>
    </font>
    <font>
      <b/>
      <sz val="8"/>
      <color indexed="81"/>
      <name val="Tahoma"/>
      <family val="2"/>
    </font>
    <font>
      <b/>
      <i/>
      <sz val="9"/>
      <name val="Arial"/>
      <family val="2"/>
    </font>
    <font>
      <i/>
      <u/>
      <sz val="10"/>
      <name val="Arial"/>
      <family val="2"/>
    </font>
    <font>
      <u/>
      <sz val="10"/>
      <name val="Arial"/>
      <family val="2"/>
    </font>
    <font>
      <sz val="7"/>
      <color theme="0" tint="-0.34998626667073579"/>
      <name val="Arial"/>
      <family val="2"/>
    </font>
    <font>
      <sz val="8"/>
      <color theme="0" tint="-0.34998626667073579"/>
      <name val="Arial"/>
      <family val="2"/>
    </font>
    <font>
      <b/>
      <u/>
      <sz val="12"/>
      <name val="Arial"/>
      <family val="2"/>
    </font>
    <font>
      <sz val="6"/>
      <color theme="0" tint="-0.24994659260841701"/>
      <name val="Arial"/>
      <family val="2"/>
    </font>
    <font>
      <sz val="10"/>
      <color theme="0" tint="-0.499984740745262"/>
      <name val="Arial"/>
      <family val="2"/>
    </font>
    <font>
      <u/>
      <sz val="9"/>
      <name val="Arial"/>
      <family val="2"/>
    </font>
    <font>
      <sz val="9"/>
      <color indexed="81"/>
      <name val="Tahoma"/>
      <family val="2"/>
    </font>
    <font>
      <u/>
      <sz val="9"/>
      <color indexed="81"/>
      <name val="Tahoma"/>
      <family val="2"/>
    </font>
    <font>
      <b/>
      <sz val="9"/>
      <color indexed="81"/>
      <name val="Tahoma"/>
      <family val="2"/>
    </font>
    <font>
      <b/>
      <sz val="9"/>
      <color rgb="FFCCCCFF"/>
      <name val="Arial"/>
      <family val="2"/>
    </font>
    <font>
      <sz val="10"/>
      <color theme="1"/>
      <name val="Arial"/>
      <family val="2"/>
    </font>
    <font>
      <b/>
      <sz val="10"/>
      <color theme="1"/>
      <name val="Arial"/>
      <family val="2"/>
    </font>
    <font>
      <sz val="11"/>
      <color rgb="FF000000"/>
      <name val="Calibri"/>
    </font>
    <font>
      <b/>
      <sz val="11"/>
      <color theme="1"/>
      <name val="Calibri"/>
      <family val="2"/>
    </font>
    <font>
      <b/>
      <sz val="11"/>
      <color rgb="FF000000"/>
      <name val="Calibri"/>
      <family val="2"/>
    </font>
    <font>
      <b/>
      <sz val="12"/>
      <color rgb="FF0070C0"/>
      <name val="Calibri"/>
      <family val="2"/>
    </font>
    <font>
      <b/>
      <sz val="11"/>
      <name val="Arial"/>
      <family val="2"/>
    </font>
    <font>
      <b/>
      <sz val="11"/>
      <color rgb="FF0070C0"/>
      <name val="Arial"/>
      <family val="2"/>
    </font>
    <font>
      <b/>
      <sz val="13"/>
      <color rgb="FF000000"/>
      <name val="Arial"/>
      <family val="2"/>
    </font>
    <font>
      <sz val="10"/>
      <color rgb="FF0070C0"/>
      <name val="Arial"/>
      <family val="2"/>
    </font>
    <font>
      <b/>
      <sz val="13"/>
      <color rgb="FF0070C0"/>
      <name val="Arial"/>
      <family val="2"/>
    </font>
    <font>
      <b/>
      <sz val="10"/>
      <color theme="4" tint="-0.499984740745262"/>
      <name val="Arial"/>
      <family val="2"/>
    </font>
    <font>
      <b/>
      <sz val="10"/>
      <color rgb="FFFF0000"/>
      <name val="Arial"/>
      <family val="2"/>
    </font>
    <font>
      <b/>
      <sz val="14"/>
      <color rgb="FFFF0000"/>
      <name val="Arial"/>
      <family val="2"/>
    </font>
    <font>
      <b/>
      <sz val="10"/>
      <color rgb="FF000000"/>
      <name val="Arial"/>
      <family val="2"/>
    </font>
    <font>
      <b/>
      <sz val="14"/>
      <color rgb="FF7030A0"/>
      <name val="Arial"/>
      <family val="2"/>
    </font>
    <font>
      <b/>
      <sz val="12"/>
      <color rgb="FF000000"/>
      <name val="Arial"/>
      <family val="2"/>
    </font>
    <font>
      <i/>
      <sz val="10"/>
      <color rgb="FF000000"/>
      <name val="Calibri"/>
      <family val="2"/>
    </font>
    <font>
      <sz val="14"/>
      <color rgb="FF000000"/>
      <name val="Calibri"/>
      <family val="2"/>
    </font>
    <font>
      <b/>
      <sz val="14"/>
      <color rgb="FF000000"/>
      <name val="Calibri"/>
      <family val="2"/>
    </font>
    <font>
      <sz val="12"/>
      <color rgb="FF000000"/>
      <name val="Calibri"/>
      <family val="2"/>
    </font>
    <font>
      <b/>
      <sz val="12"/>
      <color rgb="FF000000"/>
      <name val="Calibri"/>
      <family val="2"/>
    </font>
    <font>
      <b/>
      <sz val="11"/>
      <color rgb="FF000000"/>
      <name val="Arial"/>
      <family val="2"/>
    </font>
    <font>
      <b/>
      <sz val="14"/>
      <color rgb="FF00B050"/>
      <name val="Arial"/>
      <family val="2"/>
    </font>
    <font>
      <b/>
      <sz val="11"/>
      <color rgb="FFFF0000"/>
      <name val="Calibri"/>
      <family val="2"/>
    </font>
    <font>
      <sz val="12"/>
      <name val="Calibri"/>
      <family val="2"/>
    </font>
    <font>
      <b/>
      <sz val="12"/>
      <name val="Calibri"/>
      <family val="2"/>
    </font>
    <font>
      <b/>
      <sz val="16"/>
      <color rgb="FF00B050"/>
      <name val="Calibri"/>
      <family val="2"/>
    </font>
    <font>
      <u/>
      <sz val="11"/>
      <color theme="10"/>
      <name val="Calibri"/>
      <family val="2"/>
    </font>
    <font>
      <b/>
      <u/>
      <sz val="12"/>
      <color theme="4" tint="-0.499984740745262"/>
      <name val="Calibri"/>
      <family val="2"/>
    </font>
    <font>
      <b/>
      <sz val="16"/>
      <color rgb="FF000000"/>
      <name val="Calibri"/>
      <family val="2"/>
    </font>
    <font>
      <sz val="11"/>
      <color rgb="FF000000"/>
      <name val="Calibri"/>
      <family val="2"/>
    </font>
    <font>
      <b/>
      <u/>
      <sz val="14"/>
      <color rgb="FF000000"/>
      <name val="Calibri"/>
      <family val="2"/>
    </font>
    <font>
      <b/>
      <sz val="14"/>
      <color rgb="FF00B050"/>
      <name val="Calibri"/>
      <family val="2"/>
    </font>
    <font>
      <b/>
      <sz val="16"/>
      <color theme="1"/>
      <name val="Calibri"/>
      <family val="2"/>
    </font>
    <font>
      <sz val="12"/>
      <color theme="1"/>
      <name val="Calibri"/>
      <family val="2"/>
    </font>
    <font>
      <sz val="8"/>
      <color rgb="FF000000"/>
      <name val="Arial"/>
      <family val="2"/>
    </font>
    <font>
      <sz val="8"/>
      <color rgb="FF000000"/>
      <name val="Tahoma"/>
      <family val="2"/>
    </font>
    <font>
      <sz val="7"/>
      <color rgb="FF000000"/>
      <name val="Arial"/>
      <family val="2"/>
    </font>
    <font>
      <sz val="8"/>
      <color rgb="FF000000"/>
      <name val="Segoe UI"/>
      <family val="2"/>
    </font>
  </fonts>
  <fills count="5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theme="0" tint="-0.24994659260841701"/>
        <bgColor indexed="64"/>
      </patternFill>
    </fill>
    <fill>
      <patternFill patternType="solid">
        <fgColor indexed="49"/>
        <bgColor indexed="64"/>
      </patternFill>
    </fill>
    <fill>
      <patternFill patternType="solid">
        <fgColor indexed="40"/>
        <bgColor indexed="64"/>
      </patternFill>
    </fill>
    <fill>
      <patternFill patternType="solid">
        <fgColor indexed="44"/>
        <bgColor indexed="64"/>
      </patternFill>
    </fill>
    <fill>
      <patternFill patternType="solid">
        <fgColor indexed="31"/>
        <bgColor indexed="64"/>
      </patternFill>
    </fill>
    <fill>
      <patternFill patternType="solid">
        <fgColor indexed="42"/>
        <bgColor indexed="64"/>
      </patternFill>
    </fill>
    <fill>
      <patternFill patternType="solid">
        <fgColor indexed="41"/>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46"/>
        <bgColor indexed="64"/>
      </patternFill>
    </fill>
    <fill>
      <patternFill patternType="solid">
        <fgColor indexed="4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theme="9" tint="0.59996337778862885"/>
        <bgColor indexed="64"/>
      </patternFill>
    </fill>
    <fill>
      <patternFill patternType="solid">
        <fgColor theme="5" tint="0.79998168889431442"/>
        <bgColor indexed="64"/>
      </patternFill>
    </fill>
    <fill>
      <patternFill patternType="solid">
        <fgColor theme="8" tint="0.59996337778862885"/>
        <bgColor indexed="64"/>
      </patternFill>
    </fill>
    <fill>
      <patternFill patternType="solid">
        <fgColor rgb="FFCCCCFF"/>
        <bgColor indexed="64"/>
      </patternFill>
    </fill>
    <fill>
      <patternFill patternType="solid">
        <fgColor theme="7"/>
        <bgColor indexed="64"/>
      </patternFill>
    </fill>
    <fill>
      <patternFill patternType="solid">
        <fgColor rgb="FFFFFF00"/>
        <bgColor indexed="64"/>
      </patternFill>
    </fill>
    <fill>
      <patternFill patternType="solid">
        <fgColor theme="0"/>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79998168889431442"/>
        <bgColor rgb="FFFFFF00"/>
      </patternFill>
    </fill>
    <fill>
      <patternFill patternType="solid">
        <fgColor theme="9" tint="0.79998168889431442"/>
        <bgColor rgb="FFFFFF00"/>
      </patternFill>
    </fill>
    <fill>
      <patternFill patternType="solid">
        <fgColor theme="7" tint="0.59999389629810485"/>
        <bgColor indexed="64"/>
      </patternFill>
    </fill>
    <fill>
      <patternFill patternType="solid">
        <fgColor theme="4" tint="0.39997558519241921"/>
        <bgColor indexed="64"/>
      </patternFill>
    </fill>
    <fill>
      <patternFill patternType="solid">
        <fgColor rgb="FFB7E1CD"/>
        <bgColor rgb="FFB7E1CD"/>
      </patternFill>
    </fill>
    <fill>
      <patternFill patternType="solid">
        <fgColor theme="4" tint="0.39997558519241921"/>
        <bgColor rgb="FF6D9EEB"/>
      </patternFill>
    </fill>
    <fill>
      <patternFill patternType="solid">
        <fgColor rgb="FFD8D8D8"/>
        <bgColor rgb="FFD8D8D8"/>
      </patternFill>
    </fill>
    <fill>
      <patternFill patternType="solid">
        <fgColor rgb="FFFFFF00"/>
        <bgColor rgb="FFFFFF00"/>
      </patternFill>
    </fill>
    <fill>
      <patternFill patternType="solid">
        <fgColor rgb="FF92D050"/>
        <bgColor rgb="FF92D050"/>
      </patternFill>
    </fill>
    <fill>
      <patternFill patternType="solid">
        <fgColor theme="5" tint="0.79998168889431442"/>
        <bgColor rgb="FF6AA84F"/>
      </patternFill>
    </fill>
    <fill>
      <patternFill patternType="solid">
        <fgColor rgb="FFE69138"/>
        <bgColor rgb="FFE69138"/>
      </patternFill>
    </fill>
    <fill>
      <patternFill patternType="solid">
        <fgColor rgb="FFFFF2CC"/>
        <bgColor rgb="FFFFF2CC"/>
      </patternFill>
    </fill>
    <fill>
      <patternFill patternType="solid">
        <fgColor theme="7" tint="0.79998168889431442"/>
        <bgColor indexed="64"/>
      </patternFill>
    </fill>
    <fill>
      <patternFill patternType="solid">
        <fgColor rgb="FFE3E1E1"/>
        <bgColor rgb="FFE3E1E1"/>
      </patternFill>
    </fill>
    <fill>
      <patternFill patternType="solid">
        <fgColor rgb="FFFBD4B4"/>
        <bgColor rgb="FFFBD4B4"/>
      </patternFill>
    </fill>
    <fill>
      <patternFill patternType="solid">
        <fgColor rgb="FFFFFF00"/>
        <bgColor rgb="FFFFC000"/>
      </patternFill>
    </fill>
    <fill>
      <patternFill patternType="solid">
        <fgColor rgb="FFC4BD97"/>
        <bgColor rgb="FFC4BD97"/>
      </patternFill>
    </fill>
    <fill>
      <patternFill patternType="solid">
        <fgColor rgb="FFFFFF00"/>
        <bgColor rgb="FFC4BD97"/>
      </patternFill>
    </fill>
    <fill>
      <patternFill patternType="solid">
        <fgColor theme="0"/>
        <bgColor rgb="FFFFC000"/>
      </patternFill>
    </fill>
    <fill>
      <patternFill patternType="solid">
        <fgColor theme="2" tint="-0.249977111117893"/>
        <bgColor indexed="64"/>
      </patternFill>
    </fill>
  </fills>
  <borders count="308">
    <border>
      <left/>
      <right/>
      <top/>
      <bottom/>
      <diagonal/>
    </border>
    <border>
      <left style="thick">
        <color indexed="64"/>
      </left>
      <right style="thin">
        <color indexed="64"/>
      </right>
      <top style="thick">
        <color indexed="64"/>
      </top>
      <bottom/>
      <diagonal/>
    </border>
    <border>
      <left style="thin">
        <color indexed="64"/>
      </left>
      <right style="medium">
        <color indexed="64"/>
      </right>
      <top style="thick">
        <color indexed="64"/>
      </top>
      <bottom style="thin">
        <color indexed="64"/>
      </bottom>
      <diagonal/>
    </border>
    <border>
      <left style="medium">
        <color indexed="64"/>
      </left>
      <right style="thin">
        <color indexed="64"/>
      </right>
      <top style="thick">
        <color indexed="64"/>
      </top>
      <bottom/>
      <diagonal/>
    </border>
    <border>
      <left/>
      <right/>
      <top style="thick">
        <color indexed="64"/>
      </top>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thin">
        <color indexed="64"/>
      </top>
      <bottom/>
      <diagonal/>
    </border>
    <border>
      <left/>
      <right/>
      <top style="thin">
        <color auto="1"/>
      </top>
      <bottom/>
      <diagonal/>
    </border>
    <border>
      <left/>
      <right style="thick">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right style="thick">
        <color indexed="64"/>
      </right>
      <top style="thick">
        <color indexed="64"/>
      </top>
      <bottom style="thick">
        <color indexed="64"/>
      </bottom>
      <diagonal/>
    </border>
    <border>
      <left style="thick">
        <color indexed="64"/>
      </left>
      <right/>
      <top/>
      <bottom style="thick">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right style="medium">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ck">
        <color indexed="64"/>
      </right>
      <top style="thick">
        <color indexed="64"/>
      </top>
      <bottom style="thin">
        <color indexed="64"/>
      </bottom>
      <diagonal/>
    </border>
    <border>
      <left style="thick">
        <color indexed="64"/>
      </left>
      <right/>
      <top style="thick">
        <color indexed="64"/>
      </top>
      <bottom/>
      <diagonal/>
    </border>
    <border>
      <left style="medium">
        <color indexed="64"/>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thick">
        <color indexed="64"/>
      </right>
      <top/>
      <bottom style="medium">
        <color indexed="64"/>
      </bottom>
      <diagonal/>
    </border>
    <border>
      <left style="thick">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thick">
        <color indexed="64"/>
      </left>
      <right style="thick">
        <color indexed="64"/>
      </right>
      <top style="medium">
        <color indexed="64"/>
      </top>
      <bottom style="thin">
        <color indexed="64"/>
      </bottom>
      <diagonal/>
    </border>
    <border>
      <left style="thick">
        <color indexed="64"/>
      </left>
      <right/>
      <top/>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ck">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diagonal/>
    </border>
    <border>
      <left style="thick">
        <color indexed="64"/>
      </left>
      <right style="thick">
        <color indexed="64"/>
      </right>
      <top style="thin">
        <color indexed="64"/>
      </top>
      <bottom/>
      <diagonal/>
    </border>
    <border>
      <left style="thick">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ck">
        <color indexed="64"/>
      </right>
      <top style="medium">
        <color indexed="64"/>
      </top>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style="thick">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style="thick">
        <color indexed="64"/>
      </left>
      <right style="thick">
        <color indexed="64"/>
      </right>
      <top style="medium">
        <color indexed="64"/>
      </top>
      <bottom style="thick">
        <color indexed="64"/>
      </bottom>
      <diagonal/>
    </border>
    <border>
      <left/>
      <right/>
      <top/>
      <bottom style="thick">
        <color indexed="64"/>
      </bottom>
      <diagonal/>
    </border>
    <border>
      <left style="thick">
        <color indexed="64"/>
      </left>
      <right/>
      <top style="thick">
        <color indexed="64"/>
      </top>
      <bottom style="medium">
        <color indexed="64"/>
      </bottom>
      <diagonal/>
    </border>
    <border>
      <left style="medium">
        <color indexed="64"/>
      </left>
      <right style="dashed">
        <color indexed="64"/>
      </right>
      <top style="thick">
        <color indexed="64"/>
      </top>
      <bottom style="medium">
        <color indexed="64"/>
      </bottom>
      <diagonal/>
    </border>
    <border>
      <left style="dashed">
        <color indexed="64"/>
      </left>
      <right style="dashed">
        <color indexed="64"/>
      </right>
      <top style="thick">
        <color indexed="64"/>
      </top>
      <bottom style="medium">
        <color indexed="64"/>
      </bottom>
      <diagonal/>
    </border>
    <border>
      <left style="dashed">
        <color indexed="64"/>
      </left>
      <right style="medium">
        <color indexed="64"/>
      </right>
      <top style="thick">
        <color indexed="64"/>
      </top>
      <bottom style="medium">
        <color indexed="64"/>
      </bottom>
      <diagonal/>
    </border>
    <border>
      <left style="dashed">
        <color indexed="64"/>
      </left>
      <right/>
      <top style="thick">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dashed">
        <color indexed="64"/>
      </right>
      <top/>
      <bottom style="thin">
        <color indexed="64"/>
      </bottom>
      <diagonal/>
    </border>
    <border>
      <left style="dashed">
        <color indexed="64"/>
      </left>
      <right style="dashed">
        <color indexed="64"/>
      </right>
      <top/>
      <bottom style="thin">
        <color indexed="64"/>
      </bottom>
      <diagonal/>
    </border>
    <border>
      <left style="dashed">
        <color indexed="64"/>
      </left>
      <right/>
      <top/>
      <bottom style="thin">
        <color indexed="64"/>
      </bottom>
      <diagonal/>
    </border>
    <border>
      <left style="thick">
        <color indexed="64"/>
      </left>
      <right style="medium">
        <color indexed="64"/>
      </right>
      <top/>
      <bottom style="thin">
        <color indexed="64"/>
      </bottom>
      <diagonal/>
    </border>
    <border>
      <left style="dashed">
        <color indexed="64"/>
      </left>
      <right style="medium">
        <color indexed="64"/>
      </right>
      <top/>
      <bottom style="thin">
        <color indexed="64"/>
      </bottom>
      <diagonal/>
    </border>
    <border>
      <left style="medium">
        <color indexed="64"/>
      </left>
      <right style="thick">
        <color indexed="64"/>
      </right>
      <top/>
      <bottom style="thin">
        <color indexed="64"/>
      </bottom>
      <diagonal/>
    </border>
    <border>
      <left style="medium">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dashed">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dashed">
        <color indexed="64"/>
      </right>
      <top style="thin">
        <color indexed="64"/>
      </top>
      <bottom style="medium">
        <color indexed="64"/>
      </bottom>
      <diagonal/>
    </border>
    <border>
      <left style="dashed">
        <color indexed="64"/>
      </left>
      <right style="dashed">
        <color indexed="64"/>
      </right>
      <top style="thin">
        <color indexed="64"/>
      </top>
      <bottom style="medium">
        <color indexed="64"/>
      </bottom>
      <diagonal/>
    </border>
    <border>
      <left style="dashed">
        <color indexed="64"/>
      </left>
      <right/>
      <top style="thin">
        <color indexed="64"/>
      </top>
      <bottom style="medium">
        <color indexed="64"/>
      </bottom>
      <diagonal/>
    </border>
    <border>
      <left style="dashed">
        <color indexed="64"/>
      </left>
      <right style="medium">
        <color indexed="64"/>
      </right>
      <top style="thin">
        <color indexed="64"/>
      </top>
      <bottom style="medium">
        <color indexed="64"/>
      </bottom>
      <diagonal/>
    </border>
    <border>
      <left style="medium">
        <color indexed="64"/>
      </left>
      <right style="dashed">
        <color indexed="64"/>
      </right>
      <top style="medium">
        <color indexed="64"/>
      </top>
      <bottom style="thin">
        <color indexed="64"/>
      </bottom>
      <diagonal/>
    </border>
    <border>
      <left style="dashed">
        <color indexed="64"/>
      </left>
      <right style="dashed">
        <color indexed="64"/>
      </right>
      <top style="medium">
        <color indexed="64"/>
      </top>
      <bottom style="thin">
        <color indexed="64"/>
      </bottom>
      <diagonal/>
    </border>
    <border>
      <left style="dashed">
        <color indexed="64"/>
      </left>
      <right/>
      <top style="medium">
        <color indexed="64"/>
      </top>
      <bottom style="thin">
        <color indexed="64"/>
      </bottom>
      <diagonal/>
    </border>
    <border>
      <left style="dashed">
        <color indexed="64"/>
      </left>
      <right style="medium">
        <color indexed="64"/>
      </right>
      <top style="medium">
        <color indexed="64"/>
      </top>
      <bottom style="thin">
        <color indexed="64"/>
      </bottom>
      <diagonal/>
    </border>
    <border>
      <left style="dashed">
        <color indexed="64"/>
      </left>
      <right style="medium">
        <color indexed="64"/>
      </right>
      <top style="thin">
        <color indexed="64"/>
      </top>
      <bottom/>
      <diagonal/>
    </border>
    <border>
      <left style="dashed">
        <color indexed="64"/>
      </left>
      <right style="dashed">
        <color indexed="64"/>
      </right>
      <top style="thin">
        <color indexed="64"/>
      </top>
      <bottom/>
      <diagonal/>
    </border>
    <border>
      <left style="dashed">
        <color indexed="64"/>
      </left>
      <right/>
      <top style="thin">
        <color indexed="64"/>
      </top>
      <bottom/>
      <diagonal/>
    </border>
    <border>
      <left style="medium">
        <color indexed="64"/>
      </left>
      <right style="dashed">
        <color indexed="64"/>
      </right>
      <top style="thin">
        <color indexed="64"/>
      </top>
      <bottom style="thick">
        <color indexed="64"/>
      </bottom>
      <diagonal/>
    </border>
    <border>
      <left style="dashed">
        <color indexed="64"/>
      </left>
      <right style="medium">
        <color indexed="64"/>
      </right>
      <top style="thin">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diagonal/>
    </border>
    <border>
      <left style="dashed">
        <color indexed="64"/>
      </left>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n">
        <color indexed="64"/>
      </left>
      <right/>
      <top/>
      <bottom/>
      <diagonal/>
    </border>
    <border>
      <left style="thick">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ck">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indexed="64"/>
      </right>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medium">
        <color indexed="64"/>
      </left>
      <right style="dashed">
        <color indexed="64"/>
      </right>
      <top/>
      <bottom style="medium">
        <color indexed="64"/>
      </bottom>
      <diagonal/>
    </border>
    <border>
      <left style="dashed">
        <color indexed="64"/>
      </left>
      <right style="dashed">
        <color indexed="64"/>
      </right>
      <top/>
      <bottom style="medium">
        <color indexed="64"/>
      </bottom>
      <diagonal/>
    </border>
    <border>
      <left style="dashed">
        <color indexed="64"/>
      </left>
      <right/>
      <top style="medium">
        <color indexed="64"/>
      </top>
      <bottom style="medium">
        <color indexed="64"/>
      </bottom>
      <diagonal/>
    </border>
    <border>
      <left style="thick">
        <color indexed="64"/>
      </left>
      <right style="medium">
        <color indexed="64"/>
      </right>
      <top/>
      <bottom style="medium">
        <color indexed="64"/>
      </bottom>
      <diagonal/>
    </border>
    <border>
      <left style="dashed">
        <color indexed="64"/>
      </left>
      <right/>
      <top/>
      <bottom style="medium">
        <color indexed="64"/>
      </bottom>
      <diagonal/>
    </border>
    <border>
      <left style="thin">
        <color indexed="64"/>
      </left>
      <right style="thick">
        <color indexed="64"/>
      </right>
      <top style="thin">
        <color indexed="64"/>
      </top>
      <bottom style="medium">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style="medium">
        <color indexed="64"/>
      </left>
      <right/>
      <top style="thick">
        <color indexed="64"/>
      </top>
      <bottom/>
      <diagonal/>
    </border>
    <border>
      <left style="thick">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ck">
        <color indexed="64"/>
      </right>
      <top/>
      <bottom style="medium">
        <color indexed="64"/>
      </bottom>
      <diagonal/>
    </border>
    <border>
      <left style="thick">
        <color indexed="64"/>
      </left>
      <right/>
      <top style="thin">
        <color indexed="64"/>
      </top>
      <bottom style="thin">
        <color indexed="64"/>
      </bottom>
      <diagonal/>
    </border>
    <border>
      <left style="thick">
        <color indexed="64"/>
      </left>
      <right style="medium">
        <color indexed="64"/>
      </right>
      <top/>
      <bottom/>
      <diagonal/>
    </border>
    <border>
      <left/>
      <right style="medium">
        <color indexed="64"/>
      </right>
      <top style="medium">
        <color indexed="64"/>
      </top>
      <bottom style="medium">
        <color indexed="64"/>
      </bottom>
      <diagonal/>
    </border>
    <border>
      <left style="thick">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medium">
        <color indexed="64"/>
      </top>
      <bottom style="dashed">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ck">
        <color indexed="64"/>
      </right>
      <top style="dashed">
        <color indexed="64"/>
      </top>
      <bottom style="dashed">
        <color indexed="64"/>
      </bottom>
      <diagonal/>
    </border>
    <border>
      <left style="thick">
        <color indexed="64"/>
      </left>
      <right style="thin">
        <color indexed="64"/>
      </right>
      <top/>
      <bottom style="thin">
        <color indexed="64"/>
      </bottom>
      <diagonal/>
    </border>
    <border>
      <left style="thin">
        <color indexed="64"/>
      </left>
      <right style="dotted">
        <color indexed="64"/>
      </right>
      <top style="medium">
        <color indexed="64"/>
      </top>
      <bottom style="thin">
        <color indexed="64"/>
      </bottom>
      <diagonal/>
    </border>
    <border>
      <left style="dotted">
        <color indexed="64"/>
      </left>
      <right/>
      <top style="medium">
        <color indexed="64"/>
      </top>
      <bottom style="thin">
        <color indexed="64"/>
      </bottom>
      <diagonal/>
    </border>
    <border>
      <left style="dotted">
        <color indexed="64"/>
      </left>
      <right style="thick">
        <color indexed="64"/>
      </right>
      <top style="medium">
        <color indexed="64"/>
      </top>
      <bottom style="thin">
        <color indexed="64"/>
      </bottom>
      <diagonal/>
    </border>
    <border>
      <left/>
      <right style="thick">
        <color indexed="64"/>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medium">
        <color indexed="64"/>
      </left>
      <right/>
      <top style="thin">
        <color indexed="64"/>
      </top>
      <bottom style="thin">
        <color indexed="64"/>
      </bottom>
      <diagonal/>
    </border>
    <border>
      <left style="dotted">
        <color indexed="64"/>
      </left>
      <right style="thick">
        <color indexed="64"/>
      </right>
      <top style="thin">
        <color indexed="64"/>
      </top>
      <bottom style="thin">
        <color indexed="64"/>
      </bottom>
      <diagonal/>
    </border>
    <border>
      <left/>
      <right style="thick">
        <color indexed="64"/>
      </right>
      <top style="medium">
        <color indexed="64"/>
      </top>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style="dashed">
        <color indexed="64"/>
      </top>
      <bottom style="dashed">
        <color indexed="64"/>
      </bottom>
      <diagonal/>
    </border>
    <border>
      <left style="thin">
        <color indexed="64"/>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dotted">
        <color indexed="64"/>
      </left>
      <right style="thick">
        <color indexed="64"/>
      </right>
      <top style="thin">
        <color indexed="64"/>
      </top>
      <bottom style="medium">
        <color indexed="64"/>
      </bottom>
      <diagonal/>
    </border>
    <border>
      <left style="thick">
        <color indexed="64"/>
      </left>
      <right style="thick">
        <color indexed="64"/>
      </right>
      <top style="dashed">
        <color indexed="64"/>
      </top>
      <bottom style="medium">
        <color indexed="64"/>
      </bottom>
      <diagonal/>
    </border>
    <border>
      <left/>
      <right style="thin">
        <color indexed="64"/>
      </right>
      <top style="medium">
        <color indexed="64"/>
      </top>
      <bottom/>
      <diagonal/>
    </border>
    <border>
      <left style="medium">
        <color indexed="64"/>
      </left>
      <right/>
      <top/>
      <bottom style="thick">
        <color indexed="64"/>
      </bottom>
      <diagonal/>
    </border>
    <border>
      <left/>
      <right style="thick">
        <color indexed="64"/>
      </right>
      <top/>
      <bottom style="thick">
        <color indexed="64"/>
      </bottom>
      <diagonal/>
    </border>
    <border>
      <left style="thin">
        <color indexed="64"/>
      </left>
      <right/>
      <top style="medium">
        <color indexed="64"/>
      </top>
      <bottom style="medium">
        <color indexed="64"/>
      </bottom>
      <diagonal/>
    </border>
    <border>
      <left style="medium">
        <color indexed="64"/>
      </left>
      <right style="thick">
        <color indexed="64"/>
      </right>
      <top style="medium">
        <color indexed="64"/>
      </top>
      <bottom/>
      <diagonal/>
    </border>
    <border>
      <left/>
      <right style="thick">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medium">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ck">
        <color indexed="64"/>
      </left>
      <right style="thin">
        <color indexed="64"/>
      </right>
      <top style="medium">
        <color indexed="64"/>
      </top>
      <bottom/>
      <diagonal/>
    </border>
    <border>
      <left/>
      <right style="thick">
        <color indexed="64"/>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style="thick">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ck">
        <color indexed="64"/>
      </right>
      <top style="medium">
        <color indexed="64"/>
      </top>
      <bottom style="medium">
        <color indexed="64"/>
      </bottom>
      <diagonal/>
    </border>
    <border>
      <left style="medium">
        <color indexed="64"/>
      </left>
      <right style="double">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ck">
        <color indexed="64"/>
      </right>
      <top style="medium">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ck">
        <color indexed="64"/>
      </right>
      <top style="thin">
        <color indexed="64"/>
      </top>
      <bottom style="thin">
        <color indexed="64"/>
      </bottom>
      <diagonal/>
    </border>
    <border>
      <left/>
      <right style="double">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style="dashed">
        <color indexed="64"/>
      </left>
      <right style="thick">
        <color indexed="64"/>
      </right>
      <top style="thin">
        <color indexed="64"/>
      </top>
      <bottom style="medium">
        <color indexed="64"/>
      </bottom>
      <diagonal/>
    </border>
    <border>
      <left style="medium">
        <color indexed="64"/>
      </left>
      <right style="double">
        <color indexed="64"/>
      </right>
      <top style="thin">
        <color indexed="64"/>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right style="thick">
        <color indexed="64"/>
      </right>
      <top style="thin">
        <color indexed="64"/>
      </top>
      <bottom style="thick">
        <color indexed="64"/>
      </bottom>
      <diagonal/>
    </border>
    <border>
      <left style="thick">
        <color indexed="64"/>
      </left>
      <right style="double">
        <color indexed="64"/>
      </right>
      <top style="thick">
        <color indexed="64"/>
      </top>
      <bottom/>
      <diagonal/>
    </border>
    <border>
      <left style="double">
        <color indexed="64"/>
      </left>
      <right/>
      <top style="double">
        <color indexed="64"/>
      </top>
      <bottom style="double">
        <color indexed="64"/>
      </bottom>
      <diagonal/>
    </border>
    <border>
      <left/>
      <right style="medium">
        <color indexed="64"/>
      </right>
      <top style="double">
        <color indexed="64"/>
      </top>
      <bottom style="double">
        <color indexed="64"/>
      </bottom>
      <diagonal/>
    </border>
    <border>
      <left style="medium">
        <color indexed="64"/>
      </left>
      <right style="medium">
        <color indexed="64"/>
      </right>
      <top style="double">
        <color indexed="64"/>
      </top>
      <bottom style="double">
        <color indexed="64"/>
      </bottom>
      <diagonal/>
    </border>
    <border>
      <left style="medium">
        <color indexed="64"/>
      </left>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ck">
        <color indexed="64"/>
      </top>
      <bottom style="thin">
        <color indexed="64"/>
      </bottom>
      <diagonal/>
    </border>
    <border>
      <left style="double">
        <color indexed="64"/>
      </left>
      <right style="double">
        <color indexed="64"/>
      </right>
      <top style="double">
        <color indexed="64"/>
      </top>
      <bottom style="medium">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right style="thin">
        <color indexed="64"/>
      </right>
      <top/>
      <bottom style="thin">
        <color indexed="64"/>
      </bottom>
      <diagonal/>
    </border>
    <border>
      <left style="thin">
        <color indexed="64"/>
      </left>
      <right style="thick">
        <color indexed="64"/>
      </right>
      <top/>
      <bottom style="medium">
        <color indexed="64"/>
      </bottom>
      <diagonal/>
    </border>
    <border>
      <left/>
      <right style="medium">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ck">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indexed="64"/>
      </right>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style="medium">
        <color rgb="FF000000"/>
      </left>
      <right style="medium">
        <color rgb="FF000000"/>
      </right>
      <top style="medium">
        <color indexed="64"/>
      </top>
      <bottom style="medium">
        <color indexed="64"/>
      </bottom>
      <diagonal/>
    </border>
    <border>
      <left style="thin">
        <color rgb="FF000000"/>
      </left>
      <right style="medium">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medium">
        <color rgb="FF000000"/>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thin">
        <color rgb="FF000000"/>
      </top>
      <bottom style="medium">
        <color rgb="FF000000"/>
      </bottom>
      <diagonal/>
    </border>
    <border>
      <left/>
      <right style="medium">
        <color rgb="FF000000"/>
      </right>
      <top style="medium">
        <color rgb="FF000000"/>
      </top>
      <bottom/>
      <diagonal/>
    </border>
    <border>
      <left style="medium">
        <color indexed="64"/>
      </left>
      <right style="medium">
        <color rgb="FF000000"/>
      </right>
      <top style="medium">
        <color indexed="64"/>
      </top>
      <bottom/>
      <diagonal/>
    </border>
  </borders>
  <cellStyleXfs count="5">
    <xf numFmtId="0" fontId="0" fillId="0" borderId="0"/>
    <xf numFmtId="0" fontId="23" fillId="0" borderId="0" applyNumberFormat="0" applyFill="0" applyBorder="0" applyAlignment="0" applyProtection="0">
      <alignment vertical="top"/>
      <protection locked="0"/>
    </xf>
    <xf numFmtId="0" fontId="23" fillId="0" borderId="0" applyNumberFormat="0" applyFill="0" applyBorder="0" applyAlignment="0" applyProtection="0">
      <alignment vertical="top"/>
      <protection locked="0"/>
    </xf>
    <xf numFmtId="0" fontId="65" fillId="0" borderId="0"/>
    <xf numFmtId="0" fontId="91" fillId="0" borderId="0" applyNumberFormat="0" applyFill="0" applyBorder="0" applyAlignment="0" applyProtection="0"/>
  </cellStyleXfs>
  <cellXfs count="1299">
    <xf numFmtId="0" fontId="0" fillId="0" borderId="0" xfId="0"/>
    <xf numFmtId="0" fontId="2" fillId="0" borderId="0" xfId="0" applyNumberFormat="1" applyFont="1" applyFill="1" applyBorder="1" applyAlignment="1" applyProtection="1">
      <alignment horizontal="center"/>
    </xf>
    <xf numFmtId="0" fontId="0" fillId="0" borderId="0" xfId="0" applyProtection="1"/>
    <xf numFmtId="0" fontId="0" fillId="0" borderId="0" xfId="0" applyAlignment="1" applyProtection="1">
      <alignment horizontal="center"/>
    </xf>
    <xf numFmtId="0" fontId="0" fillId="0" borderId="0" xfId="0" applyAlignment="1" applyProtection="1"/>
    <xf numFmtId="0" fontId="2" fillId="2" borderId="1" xfId="0" applyFont="1" applyFill="1" applyBorder="1" applyAlignment="1" applyProtection="1">
      <alignment horizontal="right" vertical="center"/>
    </xf>
    <xf numFmtId="0" fontId="3" fillId="0"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right" vertical="center"/>
    </xf>
    <xf numFmtId="14" fontId="4" fillId="0" borderId="2" xfId="0" applyNumberFormat="1" applyFont="1" applyFill="1" applyBorder="1" applyAlignment="1" applyProtection="1">
      <alignment horizontal="center" vertical="center"/>
      <protection locked="0"/>
    </xf>
    <xf numFmtId="0" fontId="0" fillId="0" borderId="4" xfId="0" applyFill="1" applyBorder="1" applyProtection="1"/>
    <xf numFmtId="0" fontId="0" fillId="0" borderId="4" xfId="0" applyBorder="1" applyProtection="1"/>
    <xf numFmtId="0" fontId="0" fillId="0" borderId="5" xfId="0" applyBorder="1" applyProtection="1"/>
    <xf numFmtId="0" fontId="0" fillId="0" borderId="0" xfId="0" applyFill="1" applyProtection="1"/>
    <xf numFmtId="0" fontId="2" fillId="2" borderId="7" xfId="0" applyFont="1" applyFill="1" applyBorder="1" applyAlignment="1" applyProtection="1">
      <alignment horizontal="right"/>
    </xf>
    <xf numFmtId="0" fontId="3" fillId="0" borderId="8" xfId="0" applyFont="1" applyFill="1" applyBorder="1" applyAlignment="1" applyProtection="1">
      <alignment horizontal="center"/>
      <protection locked="0"/>
    </xf>
    <xf numFmtId="0" fontId="2" fillId="2" borderId="9" xfId="0" applyFont="1" applyFill="1" applyBorder="1" applyAlignment="1" applyProtection="1">
      <alignment horizontal="right"/>
    </xf>
    <xf numFmtId="0" fontId="3" fillId="0" borderId="10" xfId="0" applyFont="1" applyBorder="1" applyAlignment="1" applyProtection="1">
      <alignment horizontal="center"/>
      <protection locked="0"/>
    </xf>
    <xf numFmtId="0" fontId="0" fillId="0" borderId="0" xfId="0" applyFill="1" applyBorder="1" applyProtection="1"/>
    <xf numFmtId="0" fontId="1" fillId="0" borderId="0" xfId="0" applyFont="1" applyFill="1" applyAlignment="1" applyProtection="1">
      <alignment horizontal="center"/>
    </xf>
    <xf numFmtId="0" fontId="8" fillId="2" borderId="14" xfId="0" applyFont="1" applyFill="1" applyBorder="1" applyProtection="1">
      <protection locked="0"/>
    </xf>
    <xf numFmtId="0" fontId="8" fillId="2" borderId="15" xfId="0" applyFont="1" applyFill="1" applyBorder="1" applyAlignment="1" applyProtection="1">
      <alignment horizontal="center"/>
      <protection locked="0"/>
    </xf>
    <xf numFmtId="0" fontId="2" fillId="2" borderId="16" xfId="0" applyFont="1" applyFill="1" applyBorder="1" applyAlignment="1" applyProtection="1">
      <alignment horizontal="right"/>
    </xf>
    <xf numFmtId="0" fontId="3" fillId="0" borderId="17" xfId="0" applyFont="1" applyBorder="1" applyAlignment="1" applyProtection="1">
      <alignment horizontal="center"/>
      <protection locked="0"/>
    </xf>
    <xf numFmtId="0" fontId="2" fillId="3" borderId="0" xfId="0" applyFont="1" applyFill="1" applyBorder="1" applyAlignment="1" applyProtection="1"/>
    <xf numFmtId="0" fontId="10" fillId="0" borderId="26" xfId="0" applyFont="1" applyBorder="1" applyAlignment="1" applyProtection="1">
      <alignment horizontal="left" vertical="top"/>
    </xf>
    <xf numFmtId="0" fontId="6" fillId="0" borderId="0" xfId="0" applyFont="1" applyAlignment="1" applyProtection="1">
      <alignment horizontal="center"/>
    </xf>
    <xf numFmtId="0" fontId="11" fillId="0" borderId="0" xfId="0" applyFont="1" applyBorder="1" applyAlignment="1" applyProtection="1"/>
    <xf numFmtId="164" fontId="11" fillId="4" borderId="28" xfId="0" applyNumberFormat="1" applyFont="1" applyFill="1" applyBorder="1" applyAlignment="1" applyProtection="1">
      <alignment horizontal="center"/>
    </xf>
    <xf numFmtId="165" fontId="2" fillId="0" borderId="32" xfId="0" applyNumberFormat="1" applyFont="1" applyFill="1" applyBorder="1" applyAlignment="1" applyProtection="1">
      <alignment horizontal="center"/>
      <protection locked="0"/>
    </xf>
    <xf numFmtId="0" fontId="0" fillId="0" borderId="33" xfId="0" applyBorder="1" applyProtection="1"/>
    <xf numFmtId="0" fontId="2" fillId="2" borderId="34" xfId="0" applyFont="1" applyFill="1" applyBorder="1" applyAlignment="1" applyProtection="1">
      <alignment horizontal="right"/>
    </xf>
    <xf numFmtId="21" fontId="3" fillId="0" borderId="36" xfId="0" applyNumberFormat="1" applyFont="1" applyFill="1" applyBorder="1" applyAlignment="1" applyProtection="1">
      <alignment horizontal="center" vertical="center"/>
      <protection locked="0"/>
    </xf>
    <xf numFmtId="0" fontId="0" fillId="0" borderId="37" xfId="0" applyBorder="1" applyProtection="1"/>
    <xf numFmtId="164" fontId="12" fillId="4" borderId="38" xfId="0" applyNumberFormat="1" applyFont="1" applyFill="1" applyBorder="1" applyAlignment="1" applyProtection="1">
      <alignment horizontal="right" vertical="top"/>
    </xf>
    <xf numFmtId="166" fontId="12" fillId="4" borderId="39" xfId="0" applyNumberFormat="1" applyFont="1" applyFill="1" applyBorder="1" applyAlignment="1" applyProtection="1">
      <alignment horizontal="center" vertical="top"/>
    </xf>
    <xf numFmtId="167" fontId="12" fillId="4" borderId="40" xfId="0" applyNumberFormat="1" applyFont="1" applyFill="1" applyBorder="1" applyAlignment="1" applyProtection="1">
      <alignment horizontal="center" vertical="top"/>
    </xf>
    <xf numFmtId="164" fontId="12" fillId="4" borderId="41" xfId="0" applyNumberFormat="1" applyFont="1" applyFill="1" applyBorder="1" applyAlignment="1" applyProtection="1">
      <alignment horizontal="right" vertical="top"/>
    </xf>
    <xf numFmtId="1" fontId="12" fillId="4" borderId="39" xfId="0" applyNumberFormat="1" applyFont="1" applyFill="1" applyBorder="1" applyAlignment="1" applyProtection="1">
      <alignment horizontal="left" vertical="top"/>
    </xf>
    <xf numFmtId="0" fontId="14" fillId="5" borderId="43" xfId="0" applyFont="1" applyFill="1" applyBorder="1" applyAlignment="1" applyProtection="1">
      <protection locked="0"/>
    </xf>
    <xf numFmtId="0" fontId="2" fillId="2" borderId="44" xfId="0" applyFont="1" applyFill="1" applyBorder="1" applyProtection="1"/>
    <xf numFmtId="20" fontId="6" fillId="2" borderId="4" xfId="0" applyNumberFormat="1" applyFont="1" applyFill="1" applyBorder="1" applyAlignment="1" applyProtection="1">
      <alignment horizontal="right"/>
    </xf>
    <xf numFmtId="0" fontId="6" fillId="2" borderId="47" xfId="0" applyFont="1" applyFill="1" applyBorder="1" applyAlignment="1" applyProtection="1">
      <alignment horizontal="center"/>
    </xf>
    <xf numFmtId="0" fontId="6" fillId="2" borderId="45" xfId="0" applyFont="1" applyFill="1" applyBorder="1" applyAlignment="1" applyProtection="1">
      <alignment horizontal="center"/>
    </xf>
    <xf numFmtId="49" fontId="6" fillId="2" borderId="48" xfId="0" applyNumberFormat="1" applyFont="1" applyFill="1" applyBorder="1" applyAlignment="1" applyProtection="1">
      <alignment horizontal="center"/>
    </xf>
    <xf numFmtId="49" fontId="2" fillId="2" borderId="47" xfId="0" applyNumberFormat="1" applyFont="1" applyFill="1" applyBorder="1" applyAlignment="1" applyProtection="1">
      <alignment horizontal="center"/>
    </xf>
    <xf numFmtId="168" fontId="2" fillId="5" borderId="47" xfId="0" applyNumberFormat="1" applyFont="1" applyFill="1" applyBorder="1" applyAlignment="1" applyProtection="1">
      <alignment horizontal="center"/>
    </xf>
    <xf numFmtId="49" fontId="2" fillId="2" borderId="45" xfId="0" applyNumberFormat="1" applyFont="1" applyFill="1" applyBorder="1" applyAlignment="1" applyProtection="1">
      <alignment horizontal="center"/>
    </xf>
    <xf numFmtId="49" fontId="2" fillId="2" borderId="49" xfId="0" applyNumberFormat="1" applyFont="1" applyFill="1" applyBorder="1" applyAlignment="1" applyProtection="1">
      <alignment horizontal="center"/>
    </xf>
    <xf numFmtId="0" fontId="14" fillId="5" borderId="50" xfId="0" applyFont="1" applyFill="1" applyBorder="1" applyAlignment="1" applyProtection="1">
      <alignment horizontal="center"/>
    </xf>
    <xf numFmtId="170" fontId="2" fillId="6" borderId="55" xfId="0" applyNumberFormat="1" applyFont="1" applyFill="1" applyBorder="1" applyAlignment="1" applyProtection="1">
      <alignment horizontal="center"/>
    </xf>
    <xf numFmtId="170" fontId="2" fillId="6" borderId="56" xfId="0" applyNumberFormat="1" applyFont="1" applyFill="1" applyBorder="1" applyAlignment="1" applyProtection="1">
      <alignment horizontal="center"/>
    </xf>
    <xf numFmtId="170" fontId="2" fillId="6" borderId="11" xfId="0" applyNumberFormat="1" applyFont="1" applyFill="1" applyBorder="1" applyAlignment="1" applyProtection="1">
      <alignment horizontal="center"/>
    </xf>
    <xf numFmtId="170" fontId="2" fillId="6" borderId="57" xfId="0" applyNumberFormat="1" applyFont="1" applyFill="1" applyBorder="1" applyAlignment="1" applyProtection="1">
      <alignment horizontal="center"/>
    </xf>
    <xf numFmtId="170" fontId="2" fillId="6" borderId="58" xfId="0" applyNumberFormat="1" applyFont="1" applyFill="1" applyBorder="1" applyAlignment="1" applyProtection="1">
      <alignment horizontal="center"/>
    </xf>
    <xf numFmtId="0" fontId="2" fillId="6" borderId="19" xfId="0" applyNumberFormat="1" applyFont="1" applyFill="1" applyBorder="1" applyAlignment="1" applyProtection="1"/>
    <xf numFmtId="0" fontId="2" fillId="6" borderId="52" xfId="0" applyNumberFormat="1" applyFont="1" applyFill="1" applyBorder="1" applyAlignment="1" applyProtection="1"/>
    <xf numFmtId="172" fontId="2" fillId="6" borderId="63" xfId="0" applyNumberFormat="1" applyFont="1" applyFill="1" applyBorder="1" applyAlignment="1" applyProtection="1">
      <alignment horizontal="center"/>
    </xf>
    <xf numFmtId="172" fontId="2" fillId="6" borderId="64" xfId="0" applyNumberFormat="1" applyFont="1" applyFill="1" applyBorder="1" applyAlignment="1" applyProtection="1">
      <alignment horizontal="center"/>
    </xf>
    <xf numFmtId="172" fontId="2" fillId="6" borderId="19" xfId="0" applyNumberFormat="1" applyFont="1" applyFill="1" applyBorder="1" applyAlignment="1" applyProtection="1">
      <alignment horizontal="center"/>
    </xf>
    <xf numFmtId="172" fontId="2" fillId="6" borderId="65" xfId="0" applyNumberFormat="1" applyFont="1" applyFill="1" applyBorder="1" applyAlignment="1" applyProtection="1">
      <alignment horizontal="center"/>
    </xf>
    <xf numFmtId="172" fontId="2" fillId="6" borderId="66" xfId="0" applyNumberFormat="1" applyFont="1" applyFill="1" applyBorder="1" applyAlignment="1" applyProtection="1">
      <alignment horizontal="center"/>
    </xf>
    <xf numFmtId="0" fontId="0" fillId="0" borderId="0" xfId="0" applyFill="1" applyAlignment="1" applyProtection="1">
      <alignment horizontal="center"/>
    </xf>
    <xf numFmtId="0" fontId="9" fillId="2" borderId="67" xfId="0" applyFont="1" applyFill="1" applyBorder="1" applyAlignment="1" applyProtection="1">
      <alignment horizontal="center"/>
    </xf>
    <xf numFmtId="1" fontId="2" fillId="0" borderId="68" xfId="0" applyNumberFormat="1" applyFont="1" applyFill="1" applyBorder="1" applyAlignment="1" applyProtection="1">
      <alignment horizontal="center"/>
      <protection locked="0"/>
    </xf>
    <xf numFmtId="171" fontId="6" fillId="7" borderId="69" xfId="0" applyNumberFormat="1" applyFont="1" applyFill="1" applyBorder="1" applyAlignment="1" applyProtection="1">
      <alignment vertical="center"/>
    </xf>
    <xf numFmtId="171" fontId="6" fillId="7" borderId="70" xfId="0" applyNumberFormat="1" applyFont="1" applyFill="1" applyBorder="1" applyAlignment="1" applyProtection="1">
      <alignment vertical="center"/>
    </xf>
    <xf numFmtId="173" fontId="6" fillId="7" borderId="71" xfId="0" applyNumberFormat="1" applyFont="1" applyFill="1" applyBorder="1" applyAlignment="1" applyProtection="1">
      <alignment horizontal="center" vertical="center"/>
    </xf>
    <xf numFmtId="173" fontId="6" fillId="7" borderId="68" xfId="0" applyNumberFormat="1" applyFont="1" applyFill="1" applyBorder="1" applyAlignment="1" applyProtection="1">
      <alignment horizontal="center" vertical="center"/>
    </xf>
    <xf numFmtId="173" fontId="6" fillId="7" borderId="72" xfId="0" applyNumberFormat="1" applyFont="1" applyFill="1" applyBorder="1" applyAlignment="1" applyProtection="1">
      <alignment horizontal="center" vertical="center"/>
    </xf>
    <xf numFmtId="173" fontId="6" fillId="7" borderId="73" xfId="0" applyNumberFormat="1" applyFont="1" applyFill="1" applyBorder="1" applyAlignment="1" applyProtection="1">
      <alignment horizontal="center" vertical="center"/>
    </xf>
    <xf numFmtId="0" fontId="0" fillId="0" borderId="0" xfId="0" applyNumberFormat="1" applyAlignment="1" applyProtection="1"/>
    <xf numFmtId="1" fontId="0" fillId="0" borderId="0" xfId="0" applyNumberFormat="1" applyFill="1" applyAlignment="1" applyProtection="1">
      <alignment horizontal="center"/>
    </xf>
    <xf numFmtId="0" fontId="2" fillId="2" borderId="59" xfId="0" applyFont="1" applyFill="1" applyBorder="1" applyAlignment="1" applyProtection="1">
      <alignment horizontal="center"/>
    </xf>
    <xf numFmtId="0" fontId="2" fillId="2" borderId="0" xfId="0" applyFont="1" applyFill="1" applyBorder="1" applyAlignment="1" applyProtection="1">
      <alignment horizontal="right"/>
    </xf>
    <xf numFmtId="173" fontId="2" fillId="8" borderId="74" xfId="0" applyNumberFormat="1" applyFont="1" applyFill="1" applyBorder="1" applyAlignment="1" applyProtection="1">
      <alignment horizontal="center"/>
    </xf>
    <xf numFmtId="173" fontId="6" fillId="8" borderId="27" xfId="0" applyNumberFormat="1" applyFont="1" applyFill="1" applyBorder="1" applyAlignment="1" applyProtection="1">
      <alignment horizontal="center"/>
    </xf>
    <xf numFmtId="173" fontId="2" fillId="8" borderId="75" xfId="0" applyNumberFormat="1" applyFont="1" applyFill="1" applyBorder="1" applyAlignment="1" applyProtection="1">
      <alignment horizontal="center"/>
    </xf>
    <xf numFmtId="173" fontId="2" fillId="8" borderId="57" xfId="0" applyNumberFormat="1" applyFont="1" applyFill="1" applyBorder="1" applyAlignment="1" applyProtection="1">
      <alignment horizontal="center"/>
    </xf>
    <xf numFmtId="173" fontId="2" fillId="8" borderId="76" xfId="0" applyNumberFormat="1" applyFont="1" applyFill="1" applyBorder="1" applyAlignment="1" applyProtection="1">
      <alignment horizontal="center"/>
    </xf>
    <xf numFmtId="174" fontId="0" fillId="0" borderId="0" xfId="0" applyNumberFormat="1" applyAlignment="1" applyProtection="1">
      <alignment horizontal="center"/>
    </xf>
    <xf numFmtId="0" fontId="0" fillId="0" borderId="0" xfId="0" applyNumberFormat="1" applyAlignment="1" applyProtection="1">
      <alignment horizontal="left"/>
    </xf>
    <xf numFmtId="1" fontId="0" fillId="0" borderId="0" xfId="0" applyNumberFormat="1" applyAlignment="1" applyProtection="1">
      <alignment horizontal="left"/>
    </xf>
    <xf numFmtId="1" fontId="0" fillId="0" borderId="0" xfId="0" applyNumberFormat="1" applyAlignment="1" applyProtection="1">
      <alignment horizontal="center"/>
    </xf>
    <xf numFmtId="175" fontId="0" fillId="0" borderId="0" xfId="0" applyNumberFormat="1" applyAlignment="1" applyProtection="1">
      <alignment horizontal="center"/>
    </xf>
    <xf numFmtId="0" fontId="2" fillId="2" borderId="59" xfId="0" applyFont="1" applyFill="1" applyBorder="1" applyProtection="1"/>
    <xf numFmtId="0" fontId="6" fillId="2" borderId="0" xfId="0" applyFont="1" applyFill="1" applyBorder="1" applyAlignment="1" applyProtection="1">
      <alignment horizontal="right"/>
    </xf>
    <xf numFmtId="173" fontId="6" fillId="8" borderId="64" xfId="0" applyNumberFormat="1" applyFont="1" applyFill="1" applyBorder="1" applyAlignment="1" applyProtection="1">
      <alignment horizontal="center" vertical="center"/>
    </xf>
    <xf numFmtId="173" fontId="6" fillId="8" borderId="19" xfId="0" applyNumberFormat="1" applyFont="1" applyFill="1" applyBorder="1" applyAlignment="1" applyProtection="1">
      <alignment horizontal="center" vertical="center"/>
    </xf>
    <xf numFmtId="173" fontId="6" fillId="8" borderId="63" xfId="0" applyNumberFormat="1" applyFont="1" applyFill="1" applyBorder="1" applyAlignment="1" applyProtection="1">
      <alignment horizontal="center" vertical="center"/>
    </xf>
    <xf numFmtId="173" fontId="6" fillId="8" borderId="65" xfId="0" applyNumberFormat="1" applyFont="1" applyFill="1" applyBorder="1" applyAlignment="1" applyProtection="1">
      <alignment horizontal="center" vertical="center"/>
    </xf>
    <xf numFmtId="173" fontId="6" fillId="8" borderId="66" xfId="0" applyNumberFormat="1" applyFont="1" applyFill="1" applyBorder="1" applyAlignment="1" applyProtection="1">
      <alignment horizontal="center" vertical="center"/>
    </xf>
    <xf numFmtId="1" fontId="2" fillId="2" borderId="59" xfId="0" applyNumberFormat="1" applyFont="1" applyFill="1" applyBorder="1" applyAlignment="1" applyProtection="1">
      <alignment horizontal="center"/>
    </xf>
    <xf numFmtId="1" fontId="2" fillId="2" borderId="0" xfId="0" applyNumberFormat="1" applyFont="1" applyFill="1" applyBorder="1" applyAlignment="1" applyProtection="1">
      <alignment horizontal="right"/>
    </xf>
    <xf numFmtId="1" fontId="2" fillId="8" borderId="68" xfId="0" applyNumberFormat="1" applyFont="1" applyFill="1" applyBorder="1" applyAlignment="1" applyProtection="1">
      <alignment horizontal="center"/>
    </xf>
    <xf numFmtId="1" fontId="2" fillId="8" borderId="69" xfId="0" applyNumberFormat="1" applyFont="1" applyFill="1" applyBorder="1" applyAlignment="1" applyProtection="1">
      <alignment horizontal="center"/>
    </xf>
    <xf numFmtId="1" fontId="2" fillId="8" borderId="71" xfId="0" applyNumberFormat="1" applyFont="1" applyFill="1" applyBorder="1" applyAlignment="1" applyProtection="1">
      <alignment horizontal="center"/>
    </xf>
    <xf numFmtId="1" fontId="2" fillId="8" borderId="72" xfId="0" applyNumberFormat="1" applyFont="1" applyFill="1" applyBorder="1" applyAlignment="1" applyProtection="1">
      <alignment horizontal="center"/>
    </xf>
    <xf numFmtId="1" fontId="2" fillId="8" borderId="73" xfId="0" applyNumberFormat="1" applyFont="1" applyFill="1" applyBorder="1" applyAlignment="1" applyProtection="1">
      <alignment horizontal="center"/>
    </xf>
    <xf numFmtId="1" fontId="2" fillId="2" borderId="59" xfId="0" applyNumberFormat="1" applyFont="1" applyFill="1" applyBorder="1" applyAlignment="1" applyProtection="1">
      <alignment horizontal="right"/>
    </xf>
    <xf numFmtId="164" fontId="2" fillId="9" borderId="56" xfId="0" applyNumberFormat="1" applyFont="1" applyFill="1" applyBorder="1" applyAlignment="1" applyProtection="1">
      <alignment horizontal="center"/>
    </xf>
    <xf numFmtId="164" fontId="2" fillId="9" borderId="11" xfId="0" applyNumberFormat="1" applyFont="1" applyFill="1" applyBorder="1" applyAlignment="1" applyProtection="1">
      <alignment horizontal="center"/>
    </xf>
    <xf numFmtId="164" fontId="2" fillId="9" borderId="55" xfId="0" applyNumberFormat="1" applyFont="1" applyFill="1" applyBorder="1" applyAlignment="1" applyProtection="1">
      <alignment horizontal="center"/>
    </xf>
    <xf numFmtId="164" fontId="2" fillId="9" borderId="57" xfId="0" applyNumberFormat="1" applyFont="1" applyFill="1" applyBorder="1" applyAlignment="1" applyProtection="1">
      <alignment horizontal="center"/>
    </xf>
    <xf numFmtId="164" fontId="2" fillId="9" borderId="58" xfId="0" applyNumberFormat="1" applyFont="1" applyFill="1" applyBorder="1" applyAlignment="1" applyProtection="1">
      <alignment horizontal="center"/>
    </xf>
    <xf numFmtId="164" fontId="2" fillId="9" borderId="64" xfId="0" applyNumberFormat="1" applyFont="1" applyFill="1" applyBorder="1" applyAlignment="1" applyProtection="1">
      <alignment horizontal="center"/>
    </xf>
    <xf numFmtId="164" fontId="2" fillId="9" borderId="77" xfId="0" applyNumberFormat="1" applyFont="1" applyFill="1" applyBorder="1" applyAlignment="1" applyProtection="1">
      <alignment horizontal="center"/>
    </xf>
    <xf numFmtId="164" fontId="2" fillId="9" borderId="61" xfId="0" applyNumberFormat="1" applyFont="1" applyFill="1" applyBorder="1" applyAlignment="1" applyProtection="1">
      <alignment horizontal="center"/>
    </xf>
    <xf numFmtId="164" fontId="2" fillId="9" borderId="78" xfId="0" applyNumberFormat="1" applyFont="1" applyFill="1" applyBorder="1" applyAlignment="1" applyProtection="1">
      <alignment horizontal="center"/>
    </xf>
    <xf numFmtId="164" fontId="2" fillId="9" borderId="79" xfId="0" applyNumberFormat="1" applyFont="1" applyFill="1" applyBorder="1" applyAlignment="1" applyProtection="1">
      <alignment horizontal="center"/>
    </xf>
    <xf numFmtId="164" fontId="2" fillId="9" borderId="80" xfId="0" applyNumberFormat="1" applyFont="1" applyFill="1" applyBorder="1" applyAlignment="1" applyProtection="1">
      <alignment horizontal="center"/>
    </xf>
    <xf numFmtId="0" fontId="1" fillId="0" borderId="0" xfId="0" applyFont="1" applyAlignment="1" applyProtection="1"/>
    <xf numFmtId="0" fontId="1" fillId="0" borderId="0" xfId="0" applyFont="1" applyProtection="1"/>
    <xf numFmtId="20" fontId="16" fillId="2" borderId="82" xfId="0" applyNumberFormat="1" applyFont="1" applyFill="1" applyBorder="1" applyAlignment="1" applyProtection="1">
      <alignment horizontal="center" vertical="top"/>
    </xf>
    <xf numFmtId="20" fontId="2" fillId="2" borderId="84" xfId="0" applyNumberFormat="1" applyFont="1" applyFill="1" applyBorder="1" applyAlignment="1" applyProtection="1">
      <alignment horizontal="right"/>
    </xf>
    <xf numFmtId="20" fontId="2" fillId="2" borderId="83" xfId="0" applyNumberFormat="1" applyFont="1" applyFill="1" applyBorder="1" applyAlignment="1" applyProtection="1">
      <alignment horizontal="right"/>
    </xf>
    <xf numFmtId="46" fontId="2" fillId="2" borderId="85" xfId="0" applyNumberFormat="1" applyFont="1" applyFill="1" applyBorder="1" applyAlignment="1" applyProtection="1">
      <alignment horizontal="center"/>
    </xf>
    <xf numFmtId="46" fontId="2" fillId="2" borderId="86" xfId="0" applyNumberFormat="1" applyFont="1" applyFill="1" applyBorder="1" applyAlignment="1" applyProtection="1">
      <alignment horizontal="center"/>
    </xf>
    <xf numFmtId="46" fontId="2" fillId="2" borderId="87" xfId="0" applyNumberFormat="1" applyFont="1" applyFill="1" applyBorder="1" applyAlignment="1" applyProtection="1">
      <alignment horizontal="center"/>
    </xf>
    <xf numFmtId="46" fontId="2" fillId="2" borderId="88" xfId="0" applyNumberFormat="1" applyFont="1" applyFill="1" applyBorder="1" applyAlignment="1" applyProtection="1">
      <alignment horizontal="center"/>
    </xf>
    <xf numFmtId="175" fontId="0" fillId="0" borderId="0" xfId="0" applyNumberFormat="1" applyProtection="1"/>
    <xf numFmtId="1" fontId="13" fillId="0" borderId="89" xfId="0" applyNumberFormat="1" applyFont="1" applyFill="1" applyBorder="1" applyAlignment="1" applyProtection="1"/>
    <xf numFmtId="1" fontId="9" fillId="0" borderId="89" xfId="0" applyNumberFormat="1" applyFont="1" applyFill="1" applyBorder="1" applyAlignment="1" applyProtection="1"/>
    <xf numFmtId="0" fontId="0" fillId="0" borderId="0" xfId="0" applyFont="1" applyFill="1" applyAlignment="1" applyProtection="1">
      <alignment horizontal="center"/>
    </xf>
    <xf numFmtId="0" fontId="0" fillId="0" borderId="0" xfId="0" applyFill="1" applyAlignment="1" applyProtection="1"/>
    <xf numFmtId="10" fontId="0" fillId="0" borderId="0" xfId="0" applyNumberFormat="1" applyProtection="1"/>
    <xf numFmtId="164" fontId="0" fillId="0" borderId="0" xfId="0" applyNumberFormat="1" applyProtection="1"/>
    <xf numFmtId="1" fontId="2" fillId="2" borderId="90" xfId="0" applyNumberFormat="1" applyFont="1" applyFill="1" applyBorder="1" applyAlignment="1" applyProtection="1">
      <alignment horizontal="center"/>
    </xf>
    <xf numFmtId="1" fontId="2" fillId="2" borderId="5" xfId="0" applyNumberFormat="1" applyFont="1" applyFill="1" applyBorder="1" applyAlignment="1" applyProtection="1">
      <alignment horizontal="right"/>
    </xf>
    <xf numFmtId="176" fontId="2" fillId="2" borderId="47" xfId="0" applyNumberFormat="1" applyFont="1" applyFill="1" applyBorder="1" applyAlignment="1" applyProtection="1">
      <alignment horizontal="center"/>
    </xf>
    <xf numFmtId="176" fontId="2" fillId="2" borderId="91" xfId="0" applyNumberFormat="1" applyFont="1" applyFill="1" applyBorder="1" applyAlignment="1" applyProtection="1">
      <alignment horizontal="center"/>
    </xf>
    <xf numFmtId="176" fontId="2" fillId="2" borderId="92" xfId="0" applyNumberFormat="1" applyFont="1" applyFill="1" applyBorder="1" applyAlignment="1" applyProtection="1">
      <alignment horizontal="center"/>
    </xf>
    <xf numFmtId="176" fontId="2" fillId="2" borderId="93" xfId="0" applyNumberFormat="1" applyFont="1" applyFill="1" applyBorder="1" applyAlignment="1" applyProtection="1">
      <alignment horizontal="center"/>
    </xf>
    <xf numFmtId="176" fontId="2" fillId="2" borderId="94" xfId="0" applyNumberFormat="1" applyFont="1" applyFill="1" applyBorder="1" applyAlignment="1" applyProtection="1">
      <alignment horizontal="center"/>
    </xf>
    <xf numFmtId="176" fontId="2" fillId="2" borderId="48" xfId="0" applyNumberFormat="1" applyFont="1" applyFill="1" applyBorder="1" applyAlignment="1" applyProtection="1">
      <alignment horizontal="center"/>
    </xf>
    <xf numFmtId="176" fontId="2" fillId="2" borderId="49" xfId="0" applyNumberFormat="1" applyFont="1" applyFill="1" applyBorder="1" applyAlignment="1" applyProtection="1">
      <alignment horizontal="center"/>
    </xf>
    <xf numFmtId="0" fontId="2" fillId="2" borderId="59" xfId="0" applyFont="1" applyFill="1" applyBorder="1" applyAlignment="1" applyProtection="1">
      <alignment horizontal="right"/>
    </xf>
    <xf numFmtId="0" fontId="2" fillId="2" borderId="60" xfId="0" applyFont="1" applyFill="1" applyBorder="1" applyAlignment="1" applyProtection="1">
      <alignment horizontal="center"/>
    </xf>
    <xf numFmtId="172" fontId="2" fillId="10" borderId="95" xfId="0" applyNumberFormat="1" applyFont="1" applyFill="1" applyBorder="1" applyAlignment="1" applyProtection="1">
      <alignment horizontal="center"/>
    </xf>
    <xf numFmtId="172" fontId="2" fillId="11" borderId="96" xfId="0" applyNumberFormat="1" applyFont="1" applyFill="1" applyBorder="1" applyAlignment="1" applyProtection="1">
      <alignment horizontal="center"/>
    </xf>
    <xf numFmtId="172" fontId="2" fillId="11" borderId="97" xfId="0" applyNumberFormat="1" applyFont="1" applyFill="1" applyBorder="1" applyAlignment="1" applyProtection="1">
      <alignment horizontal="center"/>
    </xf>
    <xf numFmtId="172" fontId="2" fillId="11" borderId="98" xfId="0" applyNumberFormat="1" applyFont="1" applyFill="1" applyBorder="1" applyAlignment="1" applyProtection="1">
      <alignment horizontal="center"/>
    </xf>
    <xf numFmtId="172" fontId="2" fillId="12" borderId="96" xfId="0" applyNumberFormat="1" applyFont="1" applyFill="1" applyBorder="1" applyAlignment="1" applyProtection="1">
      <alignment horizontal="center"/>
    </xf>
    <xf numFmtId="172" fontId="2" fillId="12" borderId="98" xfId="0" applyNumberFormat="1" applyFont="1" applyFill="1" applyBorder="1" applyAlignment="1" applyProtection="1">
      <alignment horizontal="center"/>
    </xf>
    <xf numFmtId="172" fontId="2" fillId="13" borderId="99" xfId="0" applyNumberFormat="1" applyFont="1" applyFill="1" applyBorder="1" applyAlignment="1" applyProtection="1">
      <alignment horizontal="center"/>
    </xf>
    <xf numFmtId="172" fontId="2" fillId="4" borderId="96" xfId="0" applyNumberFormat="1" applyFont="1" applyFill="1" applyBorder="1" applyAlignment="1" applyProtection="1">
      <alignment horizontal="center"/>
    </xf>
    <xf numFmtId="172" fontId="2" fillId="4" borderId="97" xfId="0" applyNumberFormat="1" applyFont="1" applyFill="1" applyBorder="1" applyAlignment="1" applyProtection="1">
      <alignment horizontal="center"/>
    </xf>
    <xf numFmtId="172" fontId="2" fillId="4" borderId="100" xfId="0" applyNumberFormat="1" applyFont="1" applyFill="1" applyBorder="1" applyAlignment="1" applyProtection="1">
      <alignment horizontal="center"/>
    </xf>
    <xf numFmtId="172" fontId="2" fillId="14" borderId="95" xfId="0" applyNumberFormat="1" applyFont="1" applyFill="1" applyBorder="1" applyAlignment="1" applyProtection="1">
      <alignment horizontal="center"/>
    </xf>
    <xf numFmtId="172" fontId="2" fillId="15" borderId="96" xfId="0" applyNumberFormat="1" applyFont="1" applyFill="1" applyBorder="1" applyAlignment="1" applyProtection="1">
      <alignment horizontal="center"/>
    </xf>
    <xf numFmtId="172" fontId="2" fillId="15" borderId="100" xfId="0" applyNumberFormat="1" applyFont="1" applyFill="1" applyBorder="1" applyAlignment="1" applyProtection="1">
      <alignment horizontal="center"/>
    </xf>
    <xf numFmtId="172" fontId="2" fillId="16" borderId="101" xfId="0" applyNumberFormat="1" applyFont="1" applyFill="1" applyBorder="1" applyAlignment="1" applyProtection="1">
      <alignment horizontal="center"/>
    </xf>
    <xf numFmtId="172" fontId="2" fillId="11" borderId="102" xfId="0" applyNumberFormat="1" applyFont="1" applyFill="1" applyBorder="1" applyAlignment="1" applyProtection="1">
      <alignment horizontal="center"/>
    </xf>
    <xf numFmtId="172" fontId="2" fillId="11" borderId="103" xfId="0" applyNumberFormat="1" applyFont="1" applyFill="1" applyBorder="1" applyAlignment="1" applyProtection="1">
      <alignment horizontal="center"/>
    </xf>
    <xf numFmtId="172" fontId="2" fillId="11" borderId="104" xfId="0" applyNumberFormat="1" applyFont="1" applyFill="1" applyBorder="1" applyAlignment="1" applyProtection="1">
      <alignment horizontal="center"/>
    </xf>
    <xf numFmtId="172" fontId="2" fillId="12" borderId="102" xfId="0" applyNumberFormat="1" applyFont="1" applyFill="1" applyBorder="1" applyAlignment="1" applyProtection="1">
      <alignment horizontal="center"/>
    </xf>
    <xf numFmtId="172" fontId="2" fillId="12" borderId="104" xfId="0" applyNumberFormat="1" applyFont="1" applyFill="1" applyBorder="1" applyAlignment="1" applyProtection="1">
      <alignment horizontal="center"/>
    </xf>
    <xf numFmtId="172" fontId="2" fillId="13" borderId="105" xfId="0" applyNumberFormat="1" applyFont="1" applyFill="1" applyBorder="1" applyAlignment="1" applyProtection="1">
      <alignment horizontal="center"/>
    </xf>
    <xf numFmtId="172" fontId="2" fillId="4" borderId="102" xfId="0" applyNumberFormat="1" applyFont="1" applyFill="1" applyBorder="1" applyAlignment="1" applyProtection="1">
      <alignment horizontal="center"/>
    </xf>
    <xf numFmtId="172" fontId="2" fillId="4" borderId="103" xfId="0" applyNumberFormat="1" applyFont="1" applyFill="1" applyBorder="1" applyAlignment="1" applyProtection="1">
      <alignment horizontal="center"/>
    </xf>
    <xf numFmtId="172" fontId="2" fillId="4" borderId="106" xfId="0" applyNumberFormat="1" applyFont="1" applyFill="1" applyBorder="1" applyAlignment="1" applyProtection="1">
      <alignment horizontal="center"/>
    </xf>
    <xf numFmtId="172" fontId="2" fillId="14" borderId="107" xfId="0" applyNumberFormat="1" applyFont="1" applyFill="1" applyBorder="1" applyAlignment="1" applyProtection="1">
      <alignment horizontal="center"/>
    </xf>
    <xf numFmtId="172" fontId="2" fillId="15" borderId="102" xfId="0" applyNumberFormat="1" applyFont="1" applyFill="1" applyBorder="1" applyAlignment="1" applyProtection="1">
      <alignment horizontal="center"/>
    </xf>
    <xf numFmtId="172" fontId="2" fillId="15" borderId="106" xfId="0" applyNumberFormat="1" applyFont="1" applyFill="1" applyBorder="1" applyAlignment="1" applyProtection="1">
      <alignment horizontal="center"/>
    </xf>
    <xf numFmtId="172" fontId="2" fillId="16" borderId="108" xfId="0" applyNumberFormat="1" applyFont="1" applyFill="1" applyBorder="1" applyAlignment="1" applyProtection="1">
      <alignment horizontal="center"/>
    </xf>
    <xf numFmtId="0" fontId="0" fillId="0" borderId="0" xfId="0" applyFont="1" applyFill="1" applyBorder="1" applyAlignment="1" applyProtection="1"/>
    <xf numFmtId="0" fontId="0" fillId="0" borderId="0" xfId="0" applyFont="1" applyFill="1" applyBorder="1" applyAlignment="1" applyProtection="1">
      <alignment horizontal="center"/>
    </xf>
    <xf numFmtId="0" fontId="0" fillId="0" borderId="0" xfId="0" applyFont="1" applyFill="1" applyBorder="1" applyProtection="1"/>
    <xf numFmtId="172" fontId="0" fillId="0" borderId="0" xfId="0" applyNumberFormat="1" applyFont="1" applyFill="1" applyBorder="1" applyAlignment="1" applyProtection="1"/>
    <xf numFmtId="177" fontId="0" fillId="0" borderId="0" xfId="0" applyNumberFormat="1" applyFont="1" applyFill="1" applyBorder="1" applyAlignment="1" applyProtection="1">
      <alignment horizontal="center"/>
    </xf>
    <xf numFmtId="172" fontId="0" fillId="0" borderId="0" xfId="0" applyNumberFormat="1" applyFont="1" applyFill="1" applyBorder="1" applyAlignment="1" applyProtection="1">
      <alignment horizontal="center"/>
    </xf>
    <xf numFmtId="0" fontId="2" fillId="2" borderId="14" xfId="0" applyFont="1" applyFill="1" applyBorder="1" applyAlignment="1" applyProtection="1">
      <alignment horizontal="right"/>
    </xf>
    <xf numFmtId="0" fontId="2" fillId="2" borderId="15" xfId="0" applyFont="1" applyFill="1" applyBorder="1" applyAlignment="1" applyProtection="1">
      <alignment horizontal="center"/>
    </xf>
    <xf numFmtId="172" fontId="2" fillId="10" borderId="109" xfId="0" applyNumberFormat="1" applyFont="1" applyFill="1" applyBorder="1" applyAlignment="1" applyProtection="1">
      <alignment horizontal="center"/>
    </xf>
    <xf numFmtId="172" fontId="2" fillId="11" borderId="110" xfId="0" applyNumberFormat="1" applyFont="1" applyFill="1" applyBorder="1" applyAlignment="1" applyProtection="1">
      <alignment horizontal="center"/>
    </xf>
    <xf numFmtId="172" fontId="2" fillId="11" borderId="111" xfId="0" applyNumberFormat="1" applyFont="1" applyFill="1" applyBorder="1" applyAlignment="1" applyProtection="1">
      <alignment horizontal="center"/>
    </xf>
    <xf numFmtId="172" fontId="2" fillId="11" borderId="112" xfId="0" applyNumberFormat="1" applyFont="1" applyFill="1" applyBorder="1" applyAlignment="1" applyProtection="1">
      <alignment horizontal="center"/>
    </xf>
    <xf numFmtId="172" fontId="2" fillId="12" borderId="110" xfId="0" applyNumberFormat="1" applyFont="1" applyFill="1" applyBorder="1" applyAlignment="1" applyProtection="1">
      <alignment horizontal="center"/>
    </xf>
    <xf numFmtId="172" fontId="2" fillId="12" borderId="112" xfId="0" applyNumberFormat="1" applyFont="1" applyFill="1" applyBorder="1" applyAlignment="1" applyProtection="1">
      <alignment horizontal="center"/>
    </xf>
    <xf numFmtId="172" fontId="2" fillId="13" borderId="78" xfId="0" applyNumberFormat="1" applyFont="1" applyFill="1" applyBorder="1" applyAlignment="1" applyProtection="1">
      <alignment horizontal="center"/>
    </xf>
    <xf numFmtId="172" fontId="2" fillId="4" borderId="110" xfId="0" applyNumberFormat="1" applyFont="1" applyFill="1" applyBorder="1" applyAlignment="1" applyProtection="1">
      <alignment horizontal="center"/>
    </xf>
    <xf numFmtId="172" fontId="2" fillId="4" borderId="111" xfId="0" applyNumberFormat="1" applyFont="1" applyFill="1" applyBorder="1" applyAlignment="1" applyProtection="1">
      <alignment horizontal="center"/>
    </xf>
    <xf numFmtId="172" fontId="2" fillId="4" borderId="113" xfId="0" applyNumberFormat="1" applyFont="1" applyFill="1" applyBorder="1" applyAlignment="1" applyProtection="1">
      <alignment horizontal="center"/>
    </xf>
    <xf numFmtId="172" fontId="2" fillId="14" borderId="77" xfId="0" applyNumberFormat="1" applyFont="1" applyFill="1" applyBorder="1" applyAlignment="1" applyProtection="1">
      <alignment horizontal="center"/>
    </xf>
    <xf numFmtId="172" fontId="2" fillId="15" borderId="110" xfId="0" applyNumberFormat="1" applyFont="1" applyFill="1" applyBorder="1" applyAlignment="1" applyProtection="1">
      <alignment horizontal="center"/>
    </xf>
    <xf numFmtId="172" fontId="2" fillId="16" borderId="79" xfId="0" applyNumberFormat="1" applyFont="1" applyFill="1" applyBorder="1" applyAlignment="1" applyProtection="1">
      <alignment horizontal="center"/>
    </xf>
    <xf numFmtId="20" fontId="0" fillId="0" borderId="0" xfId="0" applyNumberFormat="1" applyFont="1" applyFill="1" applyBorder="1" applyAlignment="1" applyProtection="1">
      <alignment horizontal="center"/>
    </xf>
    <xf numFmtId="46" fontId="0" fillId="0" borderId="0" xfId="0" applyNumberFormat="1" applyFont="1" applyFill="1" applyBorder="1" applyAlignment="1" applyProtection="1">
      <alignment horizontal="center"/>
    </xf>
    <xf numFmtId="176" fontId="0" fillId="0" borderId="0" xfId="0" applyNumberFormat="1" applyFont="1" applyFill="1" applyBorder="1" applyAlignment="1" applyProtection="1">
      <alignment horizontal="center"/>
    </xf>
    <xf numFmtId="0" fontId="2" fillId="2" borderId="25" xfId="0" applyFont="1" applyFill="1" applyBorder="1" applyAlignment="1" applyProtection="1">
      <alignment horizontal="right"/>
    </xf>
    <xf numFmtId="0" fontId="2" fillId="2" borderId="36" xfId="0" applyFont="1" applyFill="1" applyBorder="1" applyAlignment="1" applyProtection="1">
      <alignment horizontal="center"/>
    </xf>
    <xf numFmtId="172" fontId="2" fillId="10" borderId="56" xfId="0" applyNumberFormat="1" applyFont="1" applyFill="1" applyBorder="1" applyAlignment="1" applyProtection="1">
      <alignment horizontal="center"/>
    </xf>
    <xf numFmtId="172" fontId="2" fillId="11" borderId="114" xfId="0" applyNumberFormat="1" applyFont="1" applyFill="1" applyBorder="1" applyAlignment="1" applyProtection="1">
      <alignment horizontal="center"/>
    </xf>
    <xf numFmtId="172" fontId="2" fillId="11" borderId="115" xfId="0" applyNumberFormat="1" applyFont="1" applyFill="1" applyBorder="1" applyAlignment="1" applyProtection="1">
      <alignment horizontal="center"/>
    </xf>
    <xf numFmtId="172" fontId="2" fillId="11" borderId="116" xfId="0" applyNumberFormat="1" applyFont="1" applyFill="1" applyBorder="1" applyAlignment="1" applyProtection="1">
      <alignment horizontal="center"/>
    </xf>
    <xf numFmtId="172" fontId="2" fillId="12" borderId="114" xfId="0" applyNumberFormat="1" applyFont="1" applyFill="1" applyBorder="1" applyAlignment="1" applyProtection="1">
      <alignment horizontal="center"/>
    </xf>
    <xf numFmtId="172" fontId="2" fillId="12" borderId="116" xfId="0" applyNumberFormat="1" applyFont="1" applyFill="1" applyBorder="1" applyAlignment="1" applyProtection="1">
      <alignment horizontal="center"/>
    </xf>
    <xf numFmtId="172" fontId="2" fillId="13" borderId="55" xfId="0" applyNumberFormat="1" applyFont="1" applyFill="1" applyBorder="1" applyAlignment="1" applyProtection="1">
      <alignment horizontal="center"/>
    </xf>
    <xf numFmtId="172" fontId="2" fillId="4" borderId="114" xfId="0" applyNumberFormat="1" applyFont="1" applyFill="1" applyBorder="1" applyAlignment="1" applyProtection="1">
      <alignment horizontal="center"/>
    </xf>
    <xf numFmtId="172" fontId="2" fillId="4" borderId="115" xfId="0" applyNumberFormat="1" applyFont="1" applyFill="1" applyBorder="1" applyAlignment="1" applyProtection="1">
      <alignment horizontal="center"/>
    </xf>
    <xf numFmtId="172" fontId="2" fillId="4" borderId="117" xfId="0" applyNumberFormat="1" applyFont="1" applyFill="1" applyBorder="1" applyAlignment="1" applyProtection="1">
      <alignment horizontal="center"/>
    </xf>
    <xf numFmtId="172" fontId="2" fillId="14" borderId="56" xfId="0" applyNumberFormat="1" applyFont="1" applyFill="1" applyBorder="1" applyAlignment="1" applyProtection="1">
      <alignment horizontal="center"/>
    </xf>
    <xf numFmtId="172" fontId="2" fillId="15" borderId="114" xfId="0" applyNumberFormat="1" applyFont="1" applyFill="1" applyBorder="1" applyAlignment="1" applyProtection="1">
      <alignment horizontal="center"/>
    </xf>
    <xf numFmtId="172" fontId="2" fillId="15" borderId="117" xfId="0" applyNumberFormat="1" applyFont="1" applyFill="1" applyBorder="1" applyAlignment="1" applyProtection="1">
      <alignment horizontal="center"/>
    </xf>
    <xf numFmtId="172" fontId="2" fillId="16" borderId="57" xfId="0" applyNumberFormat="1" applyFont="1" applyFill="1" applyBorder="1" applyAlignment="1" applyProtection="1">
      <alignment horizontal="center"/>
    </xf>
    <xf numFmtId="2" fontId="0" fillId="0" borderId="0" xfId="0" applyNumberFormat="1" applyFont="1" applyFill="1" applyBorder="1" applyProtection="1"/>
    <xf numFmtId="172" fontId="2" fillId="10" borderId="107" xfId="0" applyNumberFormat="1" applyFont="1" applyFill="1" applyBorder="1" applyAlignment="1" applyProtection="1">
      <alignment horizontal="center"/>
    </xf>
    <xf numFmtId="172" fontId="2" fillId="15" borderId="118" xfId="0" applyNumberFormat="1" applyFont="1" applyFill="1" applyBorder="1" applyAlignment="1" applyProtection="1">
      <alignment horizontal="center"/>
    </xf>
    <xf numFmtId="0" fontId="0" fillId="0" borderId="0" xfId="0" applyFont="1" applyFill="1" applyProtection="1"/>
    <xf numFmtId="172" fontId="2" fillId="4" borderId="119" xfId="0" applyNumberFormat="1" applyFont="1" applyFill="1" applyBorder="1" applyAlignment="1" applyProtection="1">
      <alignment horizontal="center"/>
    </xf>
    <xf numFmtId="172" fontId="2" fillId="4" borderId="120" xfId="0" applyNumberFormat="1" applyFont="1" applyFill="1" applyBorder="1" applyAlignment="1" applyProtection="1">
      <alignment horizontal="center"/>
    </xf>
    <xf numFmtId="172" fontId="2" fillId="14" borderId="64" xfId="0" applyNumberFormat="1" applyFont="1" applyFill="1" applyBorder="1" applyAlignment="1" applyProtection="1">
      <alignment horizontal="center"/>
    </xf>
    <xf numFmtId="172" fontId="2" fillId="15" borderId="121" xfId="0" applyNumberFormat="1" applyFont="1" applyFill="1" applyBorder="1" applyAlignment="1" applyProtection="1">
      <alignment horizontal="center"/>
    </xf>
    <xf numFmtId="172" fontId="2" fillId="15" borderId="122" xfId="0" applyNumberFormat="1" applyFont="1" applyFill="1" applyBorder="1" applyAlignment="1" applyProtection="1">
      <alignment horizontal="center"/>
    </xf>
    <xf numFmtId="172" fontId="2" fillId="16" borderId="65" xfId="0" applyNumberFormat="1" applyFont="1" applyFill="1" applyBorder="1" applyAlignment="1" applyProtection="1">
      <alignment horizontal="center"/>
    </xf>
    <xf numFmtId="0" fontId="0" fillId="0" borderId="0" xfId="0" applyBorder="1" applyProtection="1"/>
    <xf numFmtId="0" fontId="17" fillId="17" borderId="32" xfId="0" applyFont="1" applyFill="1" applyBorder="1" applyAlignment="1" applyProtection="1"/>
    <xf numFmtId="172" fontId="2" fillId="10" borderId="77" xfId="0" applyNumberFormat="1" applyFont="1" applyFill="1" applyBorder="1" applyAlignment="1" applyProtection="1">
      <alignment horizontal="center"/>
    </xf>
    <xf numFmtId="172" fontId="2" fillId="4" borderId="112" xfId="0" applyNumberFormat="1" applyFont="1" applyFill="1" applyBorder="1" applyAlignment="1" applyProtection="1">
      <alignment horizontal="center"/>
    </xf>
    <xf numFmtId="0" fontId="18" fillId="17" borderId="44" xfId="0" applyFont="1" applyFill="1" applyBorder="1" applyAlignment="1" applyProtection="1"/>
    <xf numFmtId="0" fontId="18" fillId="17" borderId="4" xfId="0" applyFont="1" applyFill="1" applyBorder="1" applyAlignment="1" applyProtection="1"/>
    <xf numFmtId="0" fontId="17" fillId="17" borderId="125" xfId="0" applyFont="1" applyFill="1" applyBorder="1" applyAlignment="1" applyProtection="1">
      <alignment horizontal="center"/>
    </xf>
    <xf numFmtId="172" fontId="19" fillId="0" borderId="0" xfId="0" applyNumberFormat="1" applyFont="1" applyFill="1" applyBorder="1" applyAlignment="1" applyProtection="1"/>
    <xf numFmtId="0" fontId="0" fillId="0" borderId="30" xfId="0" applyFont="1" applyFill="1" applyBorder="1" applyAlignment="1" applyProtection="1">
      <alignment horizontal="center"/>
    </xf>
    <xf numFmtId="0" fontId="0" fillId="0" borderId="30" xfId="0" applyFill="1" applyBorder="1" applyAlignment="1" applyProtection="1"/>
    <xf numFmtId="0" fontId="0" fillId="0" borderId="30" xfId="0" applyFont="1" applyFill="1" applyBorder="1" applyAlignment="1" applyProtection="1"/>
    <xf numFmtId="172" fontId="2" fillId="4" borderId="126" xfId="0" applyNumberFormat="1" applyFont="1" applyFill="1" applyBorder="1" applyAlignment="1" applyProtection="1">
      <alignment horizontal="center"/>
    </xf>
    <xf numFmtId="0" fontId="18" fillId="17" borderId="14" xfId="0" applyFont="1" applyFill="1" applyBorder="1" applyAlignment="1" applyProtection="1"/>
    <xf numFmtId="0" fontId="18" fillId="17" borderId="18" xfId="0" applyFont="1" applyFill="1" applyBorder="1" applyAlignment="1" applyProtection="1"/>
    <xf numFmtId="0" fontId="0" fillId="0" borderId="87" xfId="0" applyFont="1" applyFill="1" applyBorder="1" applyAlignment="1" applyProtection="1">
      <alignment horizontal="center"/>
      <protection locked="0"/>
    </xf>
    <xf numFmtId="0" fontId="0" fillId="0" borderId="127" xfId="0" applyFill="1" applyBorder="1" applyAlignment="1" applyProtection="1">
      <alignment horizontal="center"/>
    </xf>
    <xf numFmtId="0" fontId="0" fillId="0" borderId="20" xfId="0" applyFill="1" applyBorder="1" applyAlignment="1" applyProtection="1">
      <alignment horizontal="center"/>
    </xf>
    <xf numFmtId="0" fontId="0" fillId="0" borderId="20" xfId="0" applyFont="1" applyFill="1" applyBorder="1" applyAlignment="1" applyProtection="1">
      <alignment horizontal="center"/>
    </xf>
    <xf numFmtId="0" fontId="0" fillId="0" borderId="128" xfId="0" applyFill="1" applyBorder="1" applyAlignment="1" applyProtection="1">
      <alignment horizontal="center"/>
    </xf>
    <xf numFmtId="172" fontId="2" fillId="4" borderId="104" xfId="0" applyNumberFormat="1" applyFont="1" applyFill="1" applyBorder="1" applyAlignment="1" applyProtection="1">
      <alignment horizontal="center"/>
    </xf>
    <xf numFmtId="172" fontId="18" fillId="17" borderId="129" xfId="0" applyNumberFormat="1" applyFont="1" applyFill="1" applyBorder="1" applyAlignment="1" applyProtection="1">
      <alignment horizontal="center"/>
    </xf>
    <xf numFmtId="172" fontId="18" fillId="17" borderId="130" xfId="0" applyNumberFormat="1" applyFont="1" applyFill="1" applyBorder="1" applyAlignment="1" applyProtection="1">
      <alignment horizontal="center"/>
    </xf>
    <xf numFmtId="172" fontId="18" fillId="17" borderId="131" xfId="0" applyNumberFormat="1" applyFont="1" applyFill="1" applyBorder="1" applyAlignment="1" applyProtection="1">
      <alignment horizontal="center"/>
    </xf>
    <xf numFmtId="172" fontId="18" fillId="17" borderId="132" xfId="0" applyNumberFormat="1" applyFont="1" applyFill="1" applyBorder="1" applyAlignment="1" applyProtection="1">
      <alignment horizontal="center"/>
    </xf>
    <xf numFmtId="172" fontId="18" fillId="17" borderId="133" xfId="0" applyNumberFormat="1" applyFont="1" applyFill="1" applyBorder="1" applyAlignment="1" applyProtection="1">
      <alignment horizontal="center"/>
    </xf>
    <xf numFmtId="172" fontId="18" fillId="0" borderId="0" xfId="0" applyNumberFormat="1" applyFont="1" applyFill="1" applyBorder="1" applyAlignment="1" applyProtection="1"/>
    <xf numFmtId="0" fontId="1" fillId="0" borderId="134" xfId="0" applyFont="1" applyFill="1" applyBorder="1" applyAlignment="1" applyProtection="1">
      <alignment horizontal="center"/>
    </xf>
    <xf numFmtId="0" fontId="1" fillId="0" borderId="0" xfId="0" applyFont="1" applyFill="1" applyBorder="1" applyAlignment="1" applyProtection="1">
      <alignment horizontal="center"/>
    </xf>
    <xf numFmtId="0" fontId="1" fillId="0" borderId="9" xfId="0" applyFont="1" applyFill="1" applyBorder="1" applyAlignment="1" applyProtection="1">
      <alignment horizontal="center"/>
    </xf>
    <xf numFmtId="20" fontId="0" fillId="0" borderId="0" xfId="0" applyNumberFormat="1" applyFont="1" applyFill="1" applyAlignment="1" applyProtection="1">
      <alignment horizontal="center"/>
    </xf>
    <xf numFmtId="176" fontId="1" fillId="18" borderId="137" xfId="0" applyNumberFormat="1" applyFont="1" applyFill="1" applyBorder="1" applyAlignment="1" applyProtection="1">
      <alignment horizontal="center"/>
    </xf>
    <xf numFmtId="172" fontId="1" fillId="18" borderId="138" xfId="0" applyNumberFormat="1" applyFont="1" applyFill="1" applyBorder="1" applyAlignment="1" applyProtection="1">
      <alignment horizontal="center"/>
    </xf>
    <xf numFmtId="178" fontId="1" fillId="0" borderId="0" xfId="0" applyNumberFormat="1" applyFont="1" applyFill="1" applyBorder="1" applyAlignment="1" applyProtection="1"/>
    <xf numFmtId="0" fontId="0" fillId="0" borderId="139" xfId="0" applyFont="1" applyFill="1" applyBorder="1" applyAlignment="1" applyProtection="1">
      <alignment horizontal="center"/>
    </xf>
    <xf numFmtId="0" fontId="0" fillId="0" borderId="139" xfId="0" applyNumberFormat="1" applyFont="1" applyFill="1" applyBorder="1" applyAlignment="1" applyProtection="1">
      <alignment horizontal="center"/>
    </xf>
    <xf numFmtId="46" fontId="0" fillId="0" borderId="0" xfId="0" applyNumberFormat="1" applyFont="1" applyFill="1" applyProtection="1"/>
    <xf numFmtId="21" fontId="0" fillId="0" borderId="140" xfId="0" applyNumberFormat="1" applyFont="1" applyFill="1" applyBorder="1" applyAlignment="1" applyProtection="1">
      <alignment horizontal="center"/>
      <protection locked="0"/>
    </xf>
    <xf numFmtId="172" fontId="0" fillId="0" borderId="141" xfId="0" applyNumberFormat="1" applyFont="1" applyFill="1" applyBorder="1" applyAlignment="1" applyProtection="1">
      <alignment horizontal="center"/>
      <protection locked="0"/>
    </xf>
    <xf numFmtId="20" fontId="0" fillId="0" borderId="141" xfId="0" applyNumberFormat="1" applyFont="1" applyFill="1" applyBorder="1" applyAlignment="1" applyProtection="1">
      <alignment horizontal="center"/>
      <protection locked="0"/>
    </xf>
    <xf numFmtId="0" fontId="0" fillId="0" borderId="8" xfId="0" applyNumberFormat="1" applyFont="1" applyFill="1" applyBorder="1" applyAlignment="1" applyProtection="1">
      <alignment horizontal="center"/>
      <protection locked="0"/>
    </xf>
    <xf numFmtId="0" fontId="0" fillId="0" borderId="142" xfId="0" applyFont="1" applyFill="1" applyBorder="1" applyAlignment="1" applyProtection="1">
      <alignment horizontal="center"/>
    </xf>
    <xf numFmtId="0" fontId="0" fillId="0" borderId="142" xfId="0" applyNumberFormat="1" applyFont="1" applyFill="1" applyBorder="1" applyAlignment="1" applyProtection="1">
      <alignment horizontal="center"/>
    </xf>
    <xf numFmtId="172" fontId="2" fillId="4" borderId="116" xfId="0" applyNumberFormat="1" applyFont="1" applyFill="1" applyBorder="1" applyAlignment="1" applyProtection="1">
      <alignment horizontal="center"/>
    </xf>
    <xf numFmtId="21" fontId="0" fillId="0" borderId="143" xfId="0" applyNumberFormat="1" applyFont="1" applyFill="1" applyBorder="1" applyAlignment="1" applyProtection="1">
      <alignment horizontal="center"/>
      <protection locked="0"/>
    </xf>
    <xf numFmtId="172" fontId="0" fillId="0" borderId="139" xfId="0" applyNumberFormat="1" applyFont="1" applyFill="1" applyBorder="1" applyAlignment="1" applyProtection="1">
      <alignment horizontal="center"/>
      <protection locked="0"/>
    </xf>
    <xf numFmtId="20" fontId="0" fillId="0" borderId="139" xfId="0" applyNumberFormat="1" applyFont="1" applyFill="1" applyBorder="1" applyAlignment="1" applyProtection="1">
      <alignment horizontal="center"/>
      <protection locked="0"/>
    </xf>
    <xf numFmtId="0" fontId="0" fillId="0" borderId="10" xfId="0" applyNumberFormat="1" applyFont="1" applyFill="1" applyBorder="1" applyAlignment="1" applyProtection="1">
      <alignment horizontal="center"/>
      <protection locked="0"/>
    </xf>
    <xf numFmtId="176" fontId="1" fillId="18" borderId="144" xfId="0" applyNumberFormat="1" applyFont="1" applyFill="1" applyBorder="1" applyAlignment="1" applyProtection="1">
      <alignment horizontal="center"/>
    </xf>
    <xf numFmtId="172" fontId="1" fillId="18" borderId="145" xfId="0" applyNumberFormat="1" applyFont="1" applyFill="1" applyBorder="1" applyAlignment="1" applyProtection="1">
      <alignment horizontal="center"/>
    </xf>
    <xf numFmtId="21" fontId="0" fillId="0" borderId="146" xfId="0" applyNumberFormat="1" applyFont="1" applyFill="1" applyBorder="1" applyAlignment="1" applyProtection="1">
      <alignment horizontal="center"/>
      <protection locked="0"/>
    </xf>
    <xf numFmtId="172" fontId="0" fillId="0" borderId="147" xfId="0" applyNumberFormat="1" applyFont="1" applyFill="1" applyBorder="1" applyAlignment="1" applyProtection="1">
      <alignment horizontal="center"/>
      <protection locked="0"/>
    </xf>
    <xf numFmtId="20" fontId="0" fillId="0" borderId="147" xfId="0" applyNumberFormat="1" applyFont="1" applyFill="1" applyBorder="1" applyAlignment="1" applyProtection="1">
      <alignment horizontal="center"/>
      <protection locked="0"/>
    </xf>
    <xf numFmtId="0" fontId="0" fillId="0" borderId="17" xfId="0" applyNumberFormat="1" applyFont="1" applyFill="1" applyBorder="1" applyAlignment="1" applyProtection="1">
      <alignment horizontal="center"/>
      <protection locked="0"/>
    </xf>
    <xf numFmtId="0" fontId="0" fillId="0" borderId="148" xfId="0" applyFont="1" applyFill="1" applyBorder="1" applyAlignment="1" applyProtection="1">
      <alignment horizontal="center"/>
    </xf>
    <xf numFmtId="0" fontId="0" fillId="0" borderId="148" xfId="0" applyNumberFormat="1" applyFont="1" applyFill="1" applyBorder="1" applyAlignment="1" applyProtection="1">
      <alignment horizontal="center"/>
    </xf>
    <xf numFmtId="21" fontId="0" fillId="18" borderId="149" xfId="0" applyNumberFormat="1" applyFont="1" applyFill="1" applyBorder="1" applyAlignment="1" applyProtection="1">
      <alignment horizontal="center"/>
    </xf>
    <xf numFmtId="172" fontId="0" fillId="18" borderId="150" xfId="0" applyNumberFormat="1" applyFont="1" applyFill="1" applyBorder="1" applyAlignment="1" applyProtection="1">
      <alignment horizontal="center"/>
    </xf>
    <xf numFmtId="20" fontId="0" fillId="18" borderId="150" xfId="0" applyNumberFormat="1" applyFont="1" applyFill="1" applyBorder="1" applyAlignment="1" applyProtection="1">
      <alignment horizontal="center"/>
    </xf>
    <xf numFmtId="172" fontId="0" fillId="18" borderId="151" xfId="0" applyNumberFormat="1" applyFont="1" applyFill="1" applyBorder="1" applyAlignment="1" applyProtection="1">
      <alignment horizontal="center"/>
    </xf>
    <xf numFmtId="0" fontId="1" fillId="18" borderId="152" xfId="0" applyNumberFormat="1" applyFont="1" applyFill="1" applyBorder="1" applyAlignment="1" applyProtection="1">
      <alignment horizontal="center"/>
    </xf>
    <xf numFmtId="172" fontId="1" fillId="18" borderId="153" xfId="0" applyNumberFormat="1" applyFont="1" applyFill="1" applyBorder="1" applyAlignment="1" applyProtection="1">
      <alignment horizontal="center"/>
    </xf>
    <xf numFmtId="0" fontId="0" fillId="0" borderId="0" xfId="0" applyBorder="1" applyAlignment="1" applyProtection="1"/>
    <xf numFmtId="0" fontId="1" fillId="0" borderId="0" xfId="0" applyFont="1" applyBorder="1" applyProtection="1"/>
    <xf numFmtId="179" fontId="1" fillId="0" borderId="0" xfId="0" applyNumberFormat="1" applyFont="1" applyBorder="1" applyAlignment="1" applyProtection="1"/>
    <xf numFmtId="172" fontId="2" fillId="11" borderId="155" xfId="0" applyNumberFormat="1" applyFont="1" applyFill="1" applyBorder="1" applyAlignment="1" applyProtection="1">
      <alignment horizontal="center"/>
    </xf>
    <xf numFmtId="172" fontId="2" fillId="11" borderId="156" xfId="0" applyNumberFormat="1" applyFont="1" applyFill="1" applyBorder="1" applyAlignment="1" applyProtection="1">
      <alignment horizontal="center"/>
    </xf>
    <xf numFmtId="172" fontId="2" fillId="11" borderId="157" xfId="0" applyNumberFormat="1" applyFont="1" applyFill="1" applyBorder="1" applyAlignment="1" applyProtection="1">
      <alignment horizontal="center"/>
    </xf>
    <xf numFmtId="172" fontId="2" fillId="12" borderId="155" xfId="0" applyNumberFormat="1" applyFont="1" applyFill="1" applyBorder="1" applyAlignment="1" applyProtection="1">
      <alignment horizontal="center"/>
    </xf>
    <xf numFmtId="172" fontId="2" fillId="12" borderId="157" xfId="0" applyNumberFormat="1" applyFont="1" applyFill="1" applyBorder="1" applyAlignment="1" applyProtection="1">
      <alignment horizontal="center"/>
    </xf>
    <xf numFmtId="172" fontId="2" fillId="13" borderId="158" xfId="0" applyNumberFormat="1" applyFont="1" applyFill="1" applyBorder="1" applyAlignment="1" applyProtection="1">
      <alignment horizontal="center"/>
    </xf>
    <xf numFmtId="172" fontId="2" fillId="4" borderId="155" xfId="0" applyNumberFormat="1" applyFont="1" applyFill="1" applyBorder="1" applyAlignment="1" applyProtection="1">
      <alignment horizontal="center"/>
    </xf>
    <xf numFmtId="172" fontId="2" fillId="4" borderId="159" xfId="0" applyNumberFormat="1" applyFont="1" applyFill="1" applyBorder="1" applyAlignment="1" applyProtection="1">
      <alignment horizontal="center"/>
    </xf>
    <xf numFmtId="0" fontId="0" fillId="0" borderId="124" xfId="0" applyBorder="1" applyProtection="1"/>
    <xf numFmtId="0" fontId="0" fillId="0" borderId="124" xfId="0" applyBorder="1" applyAlignment="1" applyProtection="1">
      <alignment horizontal="center"/>
    </xf>
    <xf numFmtId="0" fontId="2" fillId="0" borderId="124" xfId="0" applyFont="1" applyBorder="1" applyProtection="1"/>
    <xf numFmtId="0" fontId="21" fillId="2" borderId="164" xfId="0" applyFont="1" applyFill="1" applyBorder="1" applyAlignment="1" applyProtection="1">
      <protection locked="0"/>
    </xf>
    <xf numFmtId="20" fontId="7" fillId="2" borderId="125" xfId="0" applyNumberFormat="1" applyFont="1" applyFill="1" applyBorder="1" applyAlignment="1">
      <alignment horizontal="center"/>
    </xf>
    <xf numFmtId="180" fontId="22" fillId="19" borderId="130" xfId="0" applyNumberFormat="1" applyFont="1" applyFill="1" applyBorder="1" applyAlignment="1" applyProtection="1">
      <alignment horizontal="center"/>
    </xf>
    <xf numFmtId="180" fontId="2" fillId="19" borderId="130" xfId="0" applyNumberFormat="1" applyFont="1" applyFill="1" applyBorder="1" applyAlignment="1" applyProtection="1">
      <alignment horizontal="center"/>
    </xf>
    <xf numFmtId="180" fontId="2" fillId="19" borderId="133" xfId="0" applyNumberFormat="1" applyFont="1" applyFill="1" applyBorder="1" applyAlignment="1" applyProtection="1">
      <alignment horizontal="center"/>
    </xf>
    <xf numFmtId="20" fontId="6" fillId="2" borderId="170" xfId="0" applyNumberFormat="1" applyFont="1" applyFill="1" applyBorder="1" applyAlignment="1">
      <alignment horizontal="center"/>
    </xf>
    <xf numFmtId="0" fontId="7" fillId="2" borderId="24" xfId="0" applyFont="1" applyFill="1" applyBorder="1" applyAlignment="1" applyProtection="1">
      <alignment horizontal="left"/>
    </xf>
    <xf numFmtId="0" fontId="7" fillId="2" borderId="144" xfId="0" applyFont="1" applyFill="1" applyBorder="1" applyAlignment="1" applyProtection="1">
      <alignment horizontal="center"/>
    </xf>
    <xf numFmtId="0" fontId="3" fillId="0" borderId="138" xfId="0" applyNumberFormat="1" applyFont="1" applyBorder="1" applyAlignment="1" applyProtection="1">
      <alignment horizontal="center"/>
      <protection locked="0"/>
    </xf>
    <xf numFmtId="0" fontId="6" fillId="0" borderId="0" xfId="0" applyFont="1" applyAlignment="1" applyProtection="1"/>
    <xf numFmtId="164" fontId="22" fillId="13" borderId="136" xfId="0" applyNumberFormat="1" applyFont="1" applyFill="1" applyBorder="1" applyAlignment="1" applyProtection="1">
      <alignment horizontal="center"/>
    </xf>
    <xf numFmtId="164" fontId="2" fillId="13" borderId="136" xfId="0" applyNumberFormat="1" applyFont="1" applyFill="1" applyBorder="1" applyAlignment="1" applyProtection="1">
      <alignment horizontal="center"/>
    </xf>
    <xf numFmtId="164" fontId="2" fillId="13" borderId="154" xfId="0" applyNumberFormat="1" applyFont="1" applyFill="1" applyBorder="1" applyAlignment="1" applyProtection="1">
      <alignment horizontal="center"/>
    </xf>
    <xf numFmtId="181" fontId="3" fillId="0" borderId="176" xfId="0" applyNumberFormat="1" applyFont="1" applyBorder="1" applyAlignment="1" applyProtection="1">
      <alignment horizontal="center"/>
      <protection locked="0"/>
    </xf>
    <xf numFmtId="0" fontId="7" fillId="2" borderId="146" xfId="0" applyNumberFormat="1" applyFont="1" applyFill="1" applyBorder="1" applyAlignment="1" applyProtection="1">
      <alignment horizontal="center"/>
    </xf>
    <xf numFmtId="0" fontId="7" fillId="2" borderId="147" xfId="0" applyNumberFormat="1" applyFont="1" applyFill="1" applyBorder="1" applyAlignment="1" applyProtection="1">
      <alignment horizontal="center"/>
    </xf>
    <xf numFmtId="0" fontId="7" fillId="2" borderId="177" xfId="0" applyFont="1" applyFill="1" applyBorder="1" applyAlignment="1" applyProtection="1">
      <alignment horizontal="center"/>
    </xf>
    <xf numFmtId="0" fontId="8" fillId="2" borderId="178" xfId="0" applyFont="1" applyFill="1" applyBorder="1" applyProtection="1">
      <protection locked="0"/>
    </xf>
    <xf numFmtId="0" fontId="7" fillId="2" borderId="160" xfId="0" applyFont="1" applyFill="1" applyBorder="1" applyAlignment="1" applyProtection="1">
      <alignment horizontal="center"/>
    </xf>
    <xf numFmtId="172" fontId="22" fillId="13" borderId="147" xfId="0" applyNumberFormat="1" applyFont="1" applyFill="1" applyBorder="1" applyAlignment="1" applyProtection="1">
      <alignment horizontal="center"/>
    </xf>
    <xf numFmtId="172" fontId="2" fillId="13" borderId="147" xfId="0" applyNumberFormat="1" applyFont="1" applyFill="1" applyBorder="1" applyAlignment="1" applyProtection="1">
      <alignment horizontal="center"/>
    </xf>
    <xf numFmtId="172" fontId="2" fillId="13" borderId="160" xfId="0" applyNumberFormat="1" applyFont="1" applyFill="1" applyBorder="1" applyAlignment="1" applyProtection="1">
      <alignment horizontal="center"/>
    </xf>
    <xf numFmtId="181" fontId="3" fillId="0" borderId="181" xfId="0" applyNumberFormat="1" applyFont="1" applyBorder="1" applyAlignment="1" applyProtection="1">
      <alignment horizontal="center"/>
      <protection locked="0"/>
    </xf>
    <xf numFmtId="0" fontId="2" fillId="10" borderId="182" xfId="0" applyNumberFormat="1" applyFont="1" applyFill="1" applyBorder="1" applyAlignment="1" applyProtection="1">
      <alignment horizontal="center"/>
    </xf>
    <xf numFmtId="46" fontId="2" fillId="10" borderId="183" xfId="0" applyNumberFormat="1" applyFont="1" applyFill="1" applyBorder="1" applyAlignment="1" applyProtection="1">
      <alignment horizontal="center"/>
    </xf>
    <xf numFmtId="164" fontId="2" fillId="10" borderId="184" xfId="0" applyNumberFormat="1" applyFont="1" applyFill="1" applyBorder="1" applyAlignment="1" applyProtection="1">
      <alignment horizontal="center"/>
    </xf>
    <xf numFmtId="46" fontId="2" fillId="11" borderId="11" xfId="0" applyNumberFormat="1" applyFont="1" applyFill="1" applyBorder="1" applyAlignment="1" applyProtection="1">
      <alignment horizontal="center"/>
    </xf>
    <xf numFmtId="182" fontId="2" fillId="11" borderId="185" xfId="0" applyNumberFormat="1" applyFont="1" applyFill="1" applyBorder="1" applyAlignment="1" applyProtection="1">
      <alignment horizontal="center"/>
    </xf>
    <xf numFmtId="0" fontId="2" fillId="10" borderId="143" xfId="0" applyFont="1" applyFill="1" applyBorder="1" applyAlignment="1" applyProtection="1">
      <alignment horizontal="center"/>
    </xf>
    <xf numFmtId="46" fontId="2" fillId="10" borderId="187" xfId="0" applyNumberFormat="1" applyFont="1" applyFill="1" applyBorder="1" applyAlignment="1" applyProtection="1">
      <alignment horizontal="center"/>
    </xf>
    <xf numFmtId="164" fontId="2" fillId="10" borderId="188" xfId="0" applyNumberFormat="1" applyFont="1" applyFill="1" applyBorder="1" applyAlignment="1" applyProtection="1">
      <alignment horizontal="center"/>
    </xf>
    <xf numFmtId="46" fontId="2" fillId="11" borderId="189" xfId="0" applyNumberFormat="1" applyFont="1" applyFill="1" applyBorder="1" applyAlignment="1" applyProtection="1">
      <alignment horizontal="center"/>
    </xf>
    <xf numFmtId="182" fontId="2" fillId="11" borderId="190" xfId="0" applyNumberFormat="1" applyFont="1" applyFill="1" applyBorder="1" applyAlignment="1" applyProtection="1">
      <alignment horizontal="center"/>
    </xf>
    <xf numFmtId="0" fontId="0" fillId="0" borderId="59" xfId="0" applyBorder="1" applyProtection="1"/>
    <xf numFmtId="0" fontId="2" fillId="0" borderId="0" xfId="0" applyFont="1" applyBorder="1" applyAlignment="1" applyProtection="1">
      <alignment horizontal="center"/>
    </xf>
    <xf numFmtId="0" fontId="2" fillId="0" borderId="0" xfId="0" applyFont="1" applyBorder="1" applyProtection="1"/>
    <xf numFmtId="21" fontId="21" fillId="2" borderId="186" xfId="0" applyNumberFormat="1" applyFont="1" applyFill="1" applyBorder="1" applyAlignment="1" applyProtection="1">
      <protection locked="0"/>
    </xf>
    <xf numFmtId="0" fontId="2" fillId="2" borderId="133" xfId="0" applyFont="1" applyFill="1" applyBorder="1" applyAlignment="1" applyProtection="1">
      <alignment horizontal="center"/>
    </xf>
    <xf numFmtId="46" fontId="6" fillId="0" borderId="137" xfId="0" applyNumberFormat="1" applyFont="1" applyFill="1" applyBorder="1" applyAlignment="1" applyProtection="1">
      <alignment horizontal="center"/>
      <protection locked="0"/>
    </xf>
    <xf numFmtId="46" fontId="6" fillId="0" borderId="8" xfId="0" applyNumberFormat="1" applyFont="1" applyFill="1" applyBorder="1" applyAlignment="1" applyProtection="1">
      <alignment horizontal="center"/>
      <protection locked="0"/>
    </xf>
    <xf numFmtId="164" fontId="2" fillId="16" borderId="148" xfId="0" applyNumberFormat="1" applyFont="1" applyFill="1" applyBorder="1" applyAlignment="1" applyProtection="1">
      <alignment horizontal="center"/>
    </xf>
    <xf numFmtId="164" fontId="2" fillId="16" borderId="154" xfId="0" applyNumberFormat="1" applyFont="1" applyFill="1" applyBorder="1" applyAlignment="1" applyProtection="1">
      <alignment horizontal="center"/>
    </xf>
    <xf numFmtId="164" fontId="2" fillId="15" borderId="141" xfId="0" applyNumberFormat="1" applyFont="1" applyFill="1" applyBorder="1" applyAlignment="1" applyProtection="1">
      <alignment horizontal="center"/>
    </xf>
    <xf numFmtId="164" fontId="2" fillId="15" borderId="138" xfId="0" applyNumberFormat="1" applyFont="1" applyFill="1" applyBorder="1" applyAlignment="1" applyProtection="1">
      <alignment horizontal="center"/>
    </xf>
    <xf numFmtId="164" fontId="2" fillId="13" borderId="147" xfId="0" applyNumberFormat="1" applyFont="1" applyFill="1" applyBorder="1" applyAlignment="1" applyProtection="1">
      <alignment horizontal="center"/>
    </xf>
    <xf numFmtId="164" fontId="2" fillId="13" borderId="160" xfId="0" applyNumberFormat="1" applyFont="1" applyFill="1" applyBorder="1" applyAlignment="1" applyProtection="1">
      <alignment horizontal="center"/>
    </xf>
    <xf numFmtId="0" fontId="0" fillId="0" borderId="59" xfId="0" applyBorder="1" applyAlignment="1" applyProtection="1">
      <alignment horizontal="center"/>
    </xf>
    <xf numFmtId="0" fontId="0" fillId="0" borderId="191" xfId="0" applyBorder="1" applyProtection="1"/>
    <xf numFmtId="189" fontId="7" fillId="9" borderId="58" xfId="0" applyNumberFormat="1" applyFont="1" applyFill="1" applyBorder="1" applyAlignment="1">
      <alignment horizontal="center"/>
    </xf>
    <xf numFmtId="0" fontId="21" fillId="2" borderId="133" xfId="0" applyFont="1" applyFill="1" applyBorder="1" applyAlignment="1" applyProtection="1">
      <protection locked="0"/>
    </xf>
    <xf numFmtId="190" fontId="7" fillId="9" borderId="192" xfId="0" applyNumberFormat="1" applyFont="1" applyFill="1" applyBorder="1" applyAlignment="1">
      <alignment horizontal="center"/>
    </xf>
    <xf numFmtId="180" fontId="9" fillId="2" borderId="130" xfId="0" applyNumberFormat="1" applyFont="1" applyFill="1" applyBorder="1" applyAlignment="1" applyProtection="1">
      <alignment horizontal="center"/>
    </xf>
    <xf numFmtId="180" fontId="6" fillId="2" borderId="130" xfId="0" applyNumberFormat="1" applyFont="1" applyFill="1" applyBorder="1" applyAlignment="1" applyProtection="1">
      <alignment horizontal="center"/>
    </xf>
    <xf numFmtId="180" fontId="6" fillId="2" borderId="133" xfId="0" applyNumberFormat="1" applyFont="1" applyFill="1" applyBorder="1" applyAlignment="1" applyProtection="1">
      <alignment horizontal="center"/>
    </xf>
    <xf numFmtId="191" fontId="7" fillId="9" borderId="193" xfId="0" applyNumberFormat="1" applyFont="1" applyFill="1" applyBorder="1" applyAlignment="1" applyProtection="1">
      <alignment horizontal="center"/>
    </xf>
    <xf numFmtId="172" fontId="6" fillId="10" borderId="136" xfId="0" applyNumberFormat="1" applyFont="1" applyFill="1" applyBorder="1" applyAlignment="1" applyProtection="1">
      <alignment horizontal="center"/>
    </xf>
    <xf numFmtId="172" fontId="6" fillId="10" borderId="154" xfId="0" applyNumberFormat="1" applyFont="1" applyFill="1" applyBorder="1" applyAlignment="1" applyProtection="1">
      <alignment horizontal="center"/>
    </xf>
    <xf numFmtId="192" fontId="7" fillId="9" borderId="66" xfId="0" applyNumberFormat="1" applyFont="1" applyFill="1" applyBorder="1" applyAlignment="1" applyProtection="1">
      <alignment horizontal="center"/>
    </xf>
    <xf numFmtId="164" fontId="6" fillId="10" borderId="147" xfId="0" applyNumberFormat="1" applyFont="1" applyFill="1" applyBorder="1" applyAlignment="1" applyProtection="1">
      <alignment horizontal="center"/>
    </xf>
    <xf numFmtId="164" fontId="28" fillId="10" borderId="147" xfId="0" applyNumberFormat="1" applyFont="1" applyFill="1" applyBorder="1" applyAlignment="1" applyProtection="1">
      <alignment horizontal="center"/>
    </xf>
    <xf numFmtId="164" fontId="28" fillId="10" borderId="160" xfId="0" applyNumberFormat="1" applyFont="1" applyFill="1" applyBorder="1" applyAlignment="1" applyProtection="1">
      <alignment horizontal="center"/>
    </xf>
    <xf numFmtId="193" fontId="29" fillId="0" borderId="73" xfId="0" applyNumberFormat="1" applyFont="1" applyFill="1" applyBorder="1" applyAlignment="1" applyProtection="1">
      <alignment horizontal="center"/>
      <protection locked="0"/>
    </xf>
    <xf numFmtId="0" fontId="6" fillId="6" borderId="69" xfId="0" applyFont="1" applyFill="1" applyBorder="1" applyAlignment="1" applyProtection="1">
      <alignment horizontal="right"/>
    </xf>
    <xf numFmtId="0" fontId="30" fillId="6" borderId="169" xfId="0" applyFont="1" applyFill="1" applyBorder="1" applyAlignment="1" applyProtection="1">
      <alignment horizontal="right"/>
      <protection locked="0"/>
    </xf>
    <xf numFmtId="0" fontId="6" fillId="6" borderId="130" xfId="0" applyFont="1" applyFill="1" applyBorder="1" applyAlignment="1" applyProtection="1">
      <alignment horizontal="center"/>
    </xf>
    <xf numFmtId="9" fontId="6" fillId="6" borderId="130" xfId="0" applyNumberFormat="1" applyFont="1" applyFill="1" applyBorder="1" applyAlignment="1" applyProtection="1">
      <alignment horizontal="center"/>
    </xf>
    <xf numFmtId="9" fontId="6" fillId="6" borderId="133" xfId="0" applyNumberFormat="1" applyFont="1" applyFill="1" applyBorder="1" applyAlignment="1" applyProtection="1">
      <alignment horizontal="center"/>
    </xf>
    <xf numFmtId="0" fontId="7" fillId="2" borderId="194" xfId="0" applyFont="1" applyFill="1" applyBorder="1" applyAlignment="1" applyProtection="1">
      <alignment horizontal="center"/>
    </xf>
    <xf numFmtId="20" fontId="6" fillId="2" borderId="50" xfId="0" applyNumberFormat="1" applyFont="1" applyFill="1" applyBorder="1" applyAlignment="1">
      <alignment horizontal="center"/>
    </xf>
    <xf numFmtId="0" fontId="21" fillId="2" borderId="186" xfId="1" applyFont="1" applyFill="1" applyBorder="1" applyAlignment="1" applyProtection="1">
      <protection locked="0"/>
    </xf>
    <xf numFmtId="21" fontId="3" fillId="0" borderId="195" xfId="0" applyNumberFormat="1" applyFont="1" applyBorder="1" applyAlignment="1" applyProtection="1">
      <alignment horizontal="center"/>
      <protection locked="0"/>
    </xf>
    <xf numFmtId="46" fontId="2" fillId="10" borderId="196" xfId="0" applyNumberFormat="1" applyFont="1" applyFill="1" applyBorder="1" applyAlignment="1" applyProtection="1">
      <alignment horizontal="center"/>
    </xf>
    <xf numFmtId="164" fontId="2" fillId="10" borderId="197" xfId="0" applyNumberFormat="1" applyFont="1" applyFill="1" applyBorder="1" applyAlignment="1" applyProtection="1">
      <alignment horizontal="center"/>
    </xf>
    <xf numFmtId="46" fontId="2" fillId="11" borderId="61" xfId="0" applyNumberFormat="1" applyFont="1" applyFill="1" applyBorder="1" applyAlignment="1" applyProtection="1">
      <alignment horizontal="center"/>
    </xf>
    <xf numFmtId="182" fontId="2" fillId="11" borderId="198" xfId="0" applyNumberFormat="1" applyFont="1" applyFill="1" applyBorder="1" applyAlignment="1" applyProtection="1">
      <alignment horizontal="center"/>
    </xf>
    <xf numFmtId="46" fontId="6" fillId="0" borderId="178" xfId="0" applyNumberFormat="1" applyFont="1" applyFill="1" applyBorder="1" applyAlignment="1" applyProtection="1">
      <alignment horizontal="center"/>
      <protection locked="0"/>
    </xf>
    <xf numFmtId="46" fontId="6" fillId="0" borderId="17" xfId="0" applyNumberFormat="1" applyFont="1" applyFill="1" applyBorder="1" applyAlignment="1" applyProtection="1">
      <alignment horizontal="center"/>
      <protection locked="0"/>
    </xf>
    <xf numFmtId="0" fontId="6" fillId="2" borderId="130" xfId="0" applyNumberFormat="1" applyFont="1" applyFill="1" applyBorder="1" applyAlignment="1" applyProtection="1">
      <alignment horizontal="center"/>
    </xf>
    <xf numFmtId="0" fontId="6" fillId="2" borderId="133" xfId="0" applyNumberFormat="1" applyFont="1" applyFill="1" applyBorder="1" applyAlignment="1" applyProtection="1">
      <alignment horizontal="center"/>
    </xf>
    <xf numFmtId="194" fontId="3" fillId="0" borderId="199" xfId="0" applyNumberFormat="1" applyFont="1" applyBorder="1" applyAlignment="1" applyProtection="1">
      <alignment horizontal="center"/>
      <protection locked="0"/>
    </xf>
    <xf numFmtId="0" fontId="31" fillId="2" borderId="54" xfId="0" applyFont="1" applyFill="1" applyBorder="1" applyAlignment="1" applyProtection="1">
      <protection locked="0"/>
    </xf>
    <xf numFmtId="164" fontId="6" fillId="10" borderId="139" xfId="0" applyNumberFormat="1" applyFont="1" applyFill="1" applyBorder="1" applyAlignment="1" applyProtection="1">
      <alignment horizontal="center"/>
    </xf>
    <xf numFmtId="164" fontId="6" fillId="10" borderId="145" xfId="0" applyNumberFormat="1" applyFont="1" applyFill="1" applyBorder="1" applyAlignment="1" applyProtection="1">
      <alignment horizontal="center"/>
    </xf>
    <xf numFmtId="189" fontId="20" fillId="9" borderId="88" xfId="0" applyNumberFormat="1" applyFont="1" applyFill="1" applyBorder="1" applyAlignment="1">
      <alignment horizontal="center"/>
    </xf>
    <xf numFmtId="0" fontId="24" fillId="2" borderId="89" xfId="1" applyFont="1" applyFill="1" applyBorder="1" applyAlignment="1" applyProtection="1"/>
    <xf numFmtId="164" fontId="6" fillId="10" borderId="160" xfId="0" applyNumberFormat="1" applyFont="1" applyFill="1" applyBorder="1" applyAlignment="1" applyProtection="1">
      <alignment horizontal="center"/>
    </xf>
    <xf numFmtId="164" fontId="7" fillId="0" borderId="0" xfId="0" applyNumberFormat="1" applyFont="1" applyFill="1" applyBorder="1" applyAlignment="1" applyProtection="1">
      <alignment horizontal="left"/>
    </xf>
    <xf numFmtId="0" fontId="34" fillId="0" borderId="32" xfId="0" applyFont="1" applyBorder="1" applyAlignment="1" applyProtection="1">
      <alignment horizontal="center"/>
    </xf>
    <xf numFmtId="0" fontId="6" fillId="2" borderId="203" xfId="1" applyFont="1" applyFill="1" applyBorder="1" applyAlignment="1" applyProtection="1">
      <alignment horizontal="right"/>
    </xf>
    <xf numFmtId="1" fontId="20" fillId="2" borderId="169" xfId="1" applyNumberFormat="1" applyFont="1" applyFill="1" applyBorder="1" applyAlignment="1" applyProtection="1">
      <alignment horizontal="center"/>
    </xf>
    <xf numFmtId="0" fontId="36" fillId="0" borderId="203" xfId="0" applyFont="1" applyFill="1" applyBorder="1" applyAlignment="1" applyProtection="1">
      <alignment horizontal="center"/>
      <protection locked="0"/>
    </xf>
    <xf numFmtId="0" fontId="0" fillId="2" borderId="203" xfId="0" applyFill="1" applyBorder="1" applyProtection="1"/>
    <xf numFmtId="0" fontId="6" fillId="2" borderId="70" xfId="1" applyFont="1" applyFill="1" applyBorder="1" applyAlignment="1" applyProtection="1">
      <alignment horizontal="right"/>
    </xf>
    <xf numFmtId="164" fontId="20" fillId="2" borderId="169" xfId="1" applyNumberFormat="1" applyFont="1" applyFill="1" applyBorder="1" applyAlignment="1" applyProtection="1">
      <alignment horizontal="center"/>
    </xf>
    <xf numFmtId="20" fontId="36" fillId="0" borderId="133" xfId="0" applyNumberFormat="1" applyFont="1" applyFill="1" applyBorder="1" applyAlignment="1" applyProtection="1">
      <alignment horizontal="center"/>
      <protection locked="0"/>
    </xf>
    <xf numFmtId="195" fontId="20" fillId="7" borderId="59" xfId="0" applyNumberFormat="1" applyFont="1" applyFill="1" applyBorder="1" applyAlignment="1" applyProtection="1">
      <alignment horizontal="center"/>
    </xf>
    <xf numFmtId="0" fontId="6" fillId="7" borderId="0" xfId="0" applyFont="1" applyFill="1" applyBorder="1" applyAlignment="1" applyProtection="1">
      <alignment horizontal="center"/>
    </xf>
    <xf numFmtId="46" fontId="2" fillId="7" borderId="205" xfId="0" applyNumberFormat="1" applyFont="1" applyFill="1" applyBorder="1" applyAlignment="1" applyProtection="1">
      <alignment horizontal="center"/>
    </xf>
    <xf numFmtId="195" fontId="37" fillId="7" borderId="67" xfId="0" applyNumberFormat="1" applyFont="1" applyFill="1" applyBorder="1" applyAlignment="1" applyProtection="1"/>
    <xf numFmtId="0" fontId="6" fillId="7" borderId="30" xfId="0" applyFont="1" applyFill="1" applyBorder="1" applyAlignment="1" applyProtection="1"/>
    <xf numFmtId="46" fontId="2" fillId="7" borderId="31" xfId="0" applyNumberFormat="1" applyFont="1" applyFill="1" applyBorder="1" applyAlignment="1" applyProtection="1">
      <alignment horizontal="center"/>
    </xf>
    <xf numFmtId="1" fontId="38" fillId="7" borderId="130" xfId="0" applyNumberFormat="1" applyFont="1" applyFill="1" applyBorder="1" applyAlignment="1" applyProtection="1">
      <alignment horizontal="center"/>
    </xf>
    <xf numFmtId="0" fontId="2" fillId="7" borderId="130" xfId="0" applyFont="1" applyFill="1" applyBorder="1" applyAlignment="1" applyProtection="1">
      <alignment horizontal="center"/>
    </xf>
    <xf numFmtId="0" fontId="2" fillId="7" borderId="133" xfId="0" applyFont="1" applyFill="1" applyBorder="1" applyAlignment="1" applyProtection="1">
      <alignment horizontal="center"/>
    </xf>
    <xf numFmtId="196" fontId="9" fillId="11" borderId="208" xfId="0" applyNumberFormat="1" applyFont="1" applyFill="1" applyBorder="1" applyAlignment="1" applyProtection="1">
      <alignment horizontal="center"/>
    </xf>
    <xf numFmtId="46" fontId="38" fillId="8" borderId="136" xfId="0" applyNumberFormat="1" applyFont="1" applyFill="1" applyBorder="1" applyAlignment="1" applyProtection="1">
      <alignment horizontal="center"/>
    </xf>
    <xf numFmtId="46" fontId="2" fillId="8" borderId="136" xfId="0" applyNumberFormat="1" applyFont="1" applyFill="1" applyBorder="1" applyAlignment="1" applyProtection="1">
      <alignment horizontal="center"/>
    </xf>
    <xf numFmtId="46" fontId="2" fillId="8" borderId="154" xfId="0" applyNumberFormat="1" applyFont="1" applyFill="1" applyBorder="1" applyAlignment="1" applyProtection="1">
      <alignment horizontal="center"/>
    </xf>
    <xf numFmtId="164" fontId="38" fillId="8" borderId="147" xfId="0" applyNumberFormat="1" applyFont="1" applyFill="1" applyBorder="1" applyAlignment="1" applyProtection="1">
      <alignment horizontal="center"/>
    </xf>
    <xf numFmtId="164" fontId="2" fillId="8" borderId="147" xfId="0" applyNumberFormat="1" applyFont="1" applyFill="1" applyBorder="1" applyAlignment="1" applyProtection="1">
      <alignment horizontal="center"/>
    </xf>
    <xf numFmtId="164" fontId="2" fillId="8" borderId="160" xfId="0" applyNumberFormat="1" applyFont="1" applyFill="1" applyBorder="1" applyAlignment="1" applyProtection="1">
      <alignment horizontal="center"/>
    </xf>
    <xf numFmtId="46" fontId="13" fillId="11" borderId="210" xfId="0" applyNumberFormat="1" applyFont="1" applyFill="1" applyBorder="1" applyAlignment="1" applyProtection="1">
      <alignment horizontal="center" vertical="center"/>
    </xf>
    <xf numFmtId="0" fontId="6" fillId="0" borderId="59" xfId="0" applyFont="1" applyFill="1" applyBorder="1" applyAlignment="1" applyProtection="1">
      <alignment horizontal="center"/>
    </xf>
    <xf numFmtId="0" fontId="6" fillId="0" borderId="0" xfId="0" applyFont="1" applyFill="1" applyBorder="1" applyAlignment="1" applyProtection="1">
      <alignment horizontal="center"/>
    </xf>
    <xf numFmtId="0" fontId="6" fillId="0" borderId="205" xfId="0" applyFont="1" applyFill="1" applyBorder="1" applyAlignment="1" applyProtection="1">
      <alignment horizontal="center"/>
    </xf>
    <xf numFmtId="0" fontId="0" fillId="8" borderId="89" xfId="0" applyFill="1" applyBorder="1" applyProtection="1"/>
    <xf numFmtId="46" fontId="13" fillId="11" borderId="212" xfId="0" applyNumberFormat="1" applyFont="1" applyFill="1" applyBorder="1" applyAlignment="1" applyProtection="1">
      <alignment horizontal="center" vertical="center"/>
    </xf>
    <xf numFmtId="0" fontId="0" fillId="0" borderId="205" xfId="0" applyBorder="1" applyProtection="1"/>
    <xf numFmtId="0" fontId="0" fillId="2" borderId="169" xfId="0" applyFont="1" applyFill="1" applyBorder="1" applyAlignment="1" applyProtection="1">
      <alignment horizontal="left"/>
    </xf>
    <xf numFmtId="172" fontId="0" fillId="2" borderId="169" xfId="0" applyNumberFormat="1" applyFont="1" applyFill="1" applyBorder="1" applyAlignment="1" applyProtection="1">
      <alignment horizontal="left"/>
    </xf>
    <xf numFmtId="0" fontId="8" fillId="2" borderId="133" xfId="0" applyFont="1" applyFill="1" applyBorder="1" applyProtection="1">
      <protection locked="0"/>
    </xf>
    <xf numFmtId="21" fontId="2" fillId="11" borderId="213" xfId="0" applyNumberFormat="1" applyFont="1" applyFill="1" applyBorder="1" applyAlignment="1" applyProtection="1">
      <alignment horizontal="center" vertical="center"/>
    </xf>
    <xf numFmtId="21" fontId="13" fillId="11" borderId="68" xfId="0" applyNumberFormat="1" applyFont="1" applyFill="1" applyBorder="1" applyAlignment="1" applyProtection="1">
      <alignment horizontal="center" vertical="center"/>
    </xf>
    <xf numFmtId="0" fontId="6" fillId="20" borderId="135" xfId="0" applyFont="1" applyFill="1" applyBorder="1" applyAlignment="1">
      <alignment horizontal="center"/>
    </xf>
    <xf numFmtId="0" fontId="2" fillId="20" borderId="136" xfId="0" applyFont="1" applyFill="1" applyBorder="1" applyAlignment="1">
      <alignment horizontal="center"/>
    </xf>
    <xf numFmtId="0" fontId="6" fillId="20" borderId="154" xfId="0" applyFont="1" applyFill="1" applyBorder="1" applyAlignment="1">
      <alignment horizontal="center"/>
    </xf>
    <xf numFmtId="172" fontId="2" fillId="14" borderId="148" xfId="0" applyNumberFormat="1" applyFont="1" applyFill="1" applyBorder="1" applyAlignment="1" applyProtection="1">
      <alignment horizontal="center"/>
    </xf>
    <xf numFmtId="172" fontId="2" fillId="14" borderId="210" xfId="0" applyNumberFormat="1" applyFont="1" applyFill="1" applyBorder="1" applyAlignment="1" applyProtection="1">
      <alignment horizontal="center"/>
    </xf>
    <xf numFmtId="0" fontId="39" fillId="0" borderId="205" xfId="0" applyFont="1" applyBorder="1" applyProtection="1"/>
    <xf numFmtId="172" fontId="3" fillId="0" borderId="146" xfId="0" applyNumberFormat="1" applyFont="1" applyBorder="1" applyAlignment="1" applyProtection="1">
      <alignment horizontal="center"/>
      <protection locked="0"/>
    </xf>
    <xf numFmtId="21" fontId="3" fillId="0" borderId="147" xfId="0" applyNumberFormat="1" applyFont="1" applyBorder="1" applyAlignment="1" applyProtection="1">
      <alignment horizontal="center"/>
      <protection locked="0"/>
    </xf>
    <xf numFmtId="10" fontId="2" fillId="14" borderId="160" xfId="0" applyNumberFormat="1" applyFont="1" applyFill="1" applyBorder="1" applyAlignment="1">
      <alignment horizontal="center"/>
    </xf>
    <xf numFmtId="46" fontId="2" fillId="14" borderId="141" xfId="0" applyNumberFormat="1" applyFont="1" applyFill="1" applyBorder="1" applyAlignment="1" applyProtection="1">
      <alignment horizontal="center"/>
    </xf>
    <xf numFmtId="46" fontId="2" fillId="14" borderId="22" xfId="0" applyNumberFormat="1" applyFont="1" applyFill="1" applyBorder="1" applyAlignment="1" applyProtection="1">
      <alignment horizontal="center"/>
    </xf>
    <xf numFmtId="0" fontId="39" fillId="0" borderId="33" xfId="0" applyFont="1" applyBorder="1" applyAlignment="1" applyProtection="1">
      <alignment horizontal="center"/>
    </xf>
    <xf numFmtId="0" fontId="39" fillId="0" borderId="89" xfId="0" applyFont="1" applyBorder="1" applyAlignment="1" applyProtection="1">
      <alignment horizontal="center"/>
    </xf>
    <xf numFmtId="0" fontId="39" fillId="0" borderId="202" xfId="0" applyFont="1" applyBorder="1" applyProtection="1"/>
    <xf numFmtId="197" fontId="40" fillId="21" borderId="161" xfId="0" applyNumberFormat="1" applyFont="1" applyFill="1" applyBorder="1" applyAlignment="1" applyProtection="1">
      <protection locked="0"/>
    </xf>
    <xf numFmtId="182" fontId="2" fillId="14" borderId="147" xfId="0" applyNumberFormat="1" applyFont="1" applyFill="1" applyBorder="1" applyAlignment="1" applyProtection="1">
      <alignment horizontal="center"/>
    </xf>
    <xf numFmtId="182" fontId="2" fillId="14" borderId="177" xfId="0" applyNumberFormat="1" applyFont="1" applyFill="1" applyBorder="1" applyAlignment="1" applyProtection="1">
      <alignment horizontal="center"/>
    </xf>
    <xf numFmtId="173" fontId="3" fillId="0" borderId="70" xfId="0" applyNumberFormat="1" applyFont="1" applyBorder="1" applyAlignment="1" applyProtection="1">
      <alignment horizontal="center"/>
      <protection locked="0"/>
    </xf>
    <xf numFmtId="0" fontId="0" fillId="0" borderId="0" xfId="0" applyBorder="1" applyAlignment="1" applyProtection="1">
      <alignment horizontal="center"/>
    </xf>
    <xf numFmtId="0" fontId="0" fillId="0" borderId="0" xfId="0" applyNumberFormat="1" applyBorder="1" applyAlignment="1" applyProtection="1"/>
    <xf numFmtId="0" fontId="2" fillId="20" borderId="135" xfId="0" applyFont="1" applyFill="1" applyBorder="1" applyAlignment="1">
      <alignment horizontal="center"/>
    </xf>
    <xf numFmtId="0" fontId="2" fillId="20" borderId="154" xfId="0" applyFont="1" applyFill="1" applyBorder="1" applyAlignment="1">
      <alignment horizontal="center"/>
    </xf>
    <xf numFmtId="21" fontId="6" fillId="2" borderId="169" xfId="0" applyNumberFormat="1" applyFont="1" applyFill="1" applyBorder="1" applyAlignment="1" applyProtection="1">
      <alignment horizontal="center"/>
    </xf>
    <xf numFmtId="199" fontId="9" fillId="8" borderId="20" xfId="0" applyNumberFormat="1" applyFont="1" applyFill="1" applyBorder="1" applyAlignment="1" applyProtection="1">
      <alignment horizontal="left"/>
    </xf>
    <xf numFmtId="200" fontId="2" fillId="14" borderId="160" xfId="0" applyNumberFormat="1" applyFont="1" applyFill="1" applyBorder="1" applyAlignment="1">
      <alignment horizontal="center"/>
    </xf>
    <xf numFmtId="0" fontId="7" fillId="11" borderId="25" xfId="0" applyFont="1" applyFill="1" applyBorder="1" applyAlignment="1" applyProtection="1">
      <alignment horizontal="center"/>
    </xf>
    <xf numFmtId="0" fontId="7" fillId="11" borderId="53" xfId="0" applyFont="1" applyFill="1" applyBorder="1" applyAlignment="1" applyProtection="1">
      <alignment horizontal="center"/>
    </xf>
    <xf numFmtId="0" fontId="7" fillId="11" borderId="136" xfId="0" applyFont="1" applyFill="1" applyBorder="1" applyAlignment="1" applyProtection="1">
      <alignment horizontal="center"/>
    </xf>
    <xf numFmtId="0" fontId="7" fillId="11" borderId="214" xfId="0" applyFont="1" applyFill="1" applyBorder="1" applyAlignment="1" applyProtection="1">
      <alignment horizontal="center"/>
    </xf>
    <xf numFmtId="21" fontId="13" fillId="11" borderId="68" xfId="0" applyNumberFormat="1" applyFont="1" applyFill="1" applyBorder="1" applyAlignment="1" applyProtection="1">
      <alignment horizontal="center"/>
    </xf>
    <xf numFmtId="0" fontId="7" fillId="11" borderId="14" xfId="0" applyFont="1" applyFill="1" applyBorder="1" applyAlignment="1" applyProtection="1">
      <alignment horizontal="center"/>
    </xf>
    <xf numFmtId="1" fontId="6" fillId="11" borderId="178" xfId="0" applyNumberFormat="1" applyFont="1" applyFill="1" applyBorder="1" applyAlignment="1" applyProtection="1">
      <alignment horizontal="center"/>
    </xf>
    <xf numFmtId="1" fontId="6" fillId="11" borderId="177" xfId="0" applyNumberFormat="1" applyFont="1" applyFill="1" applyBorder="1" applyAlignment="1" applyProtection="1">
      <alignment horizontal="center"/>
    </xf>
    <xf numFmtId="172" fontId="3" fillId="0" borderId="40" xfId="0" applyNumberFormat="1" applyFont="1" applyBorder="1" applyAlignment="1" applyProtection="1">
      <alignment horizontal="center"/>
      <protection locked="0"/>
    </xf>
    <xf numFmtId="21" fontId="3" fillId="0" borderId="215" xfId="0" applyNumberFormat="1" applyFont="1" applyBorder="1" applyAlignment="1" applyProtection="1">
      <alignment horizontal="center"/>
      <protection locked="0"/>
    </xf>
    <xf numFmtId="201" fontId="2" fillId="14" borderId="42" xfId="0" applyNumberFormat="1" applyFont="1" applyFill="1" applyBorder="1" applyAlignment="1">
      <alignment horizontal="center"/>
    </xf>
    <xf numFmtId="0" fontId="6" fillId="8" borderId="143" xfId="0" applyFont="1" applyFill="1" applyBorder="1" applyAlignment="1" applyProtection="1">
      <alignment horizontal="center"/>
    </xf>
    <xf numFmtId="202" fontId="3" fillId="0" borderId="139" xfId="0" applyNumberFormat="1" applyFont="1" applyFill="1" applyBorder="1" applyAlignment="1" applyProtection="1">
      <alignment horizontal="center"/>
      <protection locked="0"/>
    </xf>
    <xf numFmtId="182" fontId="2" fillId="11" borderId="145" xfId="0" applyNumberFormat="1" applyFont="1" applyFill="1" applyBorder="1" applyAlignment="1" applyProtection="1">
      <alignment horizontal="center"/>
    </xf>
    <xf numFmtId="0" fontId="3" fillId="0" borderId="146" xfId="0" applyNumberFormat="1" applyFont="1" applyBorder="1" applyAlignment="1" applyProtection="1">
      <alignment horizontal="center"/>
      <protection locked="0"/>
    </xf>
    <xf numFmtId="181" fontId="3" fillId="0" borderId="147" xfId="0" applyNumberFormat="1" applyFont="1" applyBorder="1" applyAlignment="1" applyProtection="1">
      <alignment horizontal="center"/>
      <protection locked="0"/>
    </xf>
    <xf numFmtId="46" fontId="2" fillId="14" borderId="160" xfId="0" applyNumberFormat="1" applyFont="1" applyFill="1" applyBorder="1" applyAlignment="1">
      <alignment horizontal="center"/>
    </xf>
    <xf numFmtId="0" fontId="0" fillId="8" borderId="59" xfId="0" applyFill="1" applyBorder="1" applyProtection="1"/>
    <xf numFmtId="0" fontId="41" fillId="8" borderId="0" xfId="0" applyFont="1" applyFill="1" applyBorder="1" applyProtection="1">
      <protection locked="0"/>
    </xf>
    <xf numFmtId="0" fontId="0" fillId="8" borderId="205" xfId="0" applyFill="1" applyBorder="1" applyProtection="1"/>
    <xf numFmtId="0" fontId="3" fillId="0" borderId="211" xfId="0" applyNumberFormat="1" applyFont="1" applyBorder="1" applyAlignment="1" applyProtection="1">
      <alignment horizontal="center"/>
      <protection locked="0"/>
    </xf>
    <xf numFmtId="181" fontId="3" fillId="0" borderId="215" xfId="0" applyNumberFormat="1" applyFont="1" applyBorder="1" applyAlignment="1" applyProtection="1">
      <alignment horizontal="center"/>
      <protection locked="0"/>
    </xf>
    <xf numFmtId="46" fontId="2" fillId="14" borderId="42" xfId="0" applyNumberFormat="1" applyFont="1" applyFill="1" applyBorder="1" applyAlignment="1">
      <alignment horizontal="center"/>
    </xf>
    <xf numFmtId="0" fontId="6" fillId="0" borderId="25" xfId="0" applyFont="1" applyFill="1" applyBorder="1" applyAlignment="1" applyProtection="1">
      <alignment horizontal="center"/>
    </xf>
    <xf numFmtId="0" fontId="6" fillId="0" borderId="26" xfId="0" applyFont="1" applyFill="1" applyBorder="1" applyAlignment="1" applyProtection="1">
      <alignment horizontal="center"/>
    </xf>
    <xf numFmtId="0" fontId="6" fillId="0" borderId="191" xfId="0" applyFont="1" applyFill="1" applyBorder="1" applyAlignment="1" applyProtection="1">
      <alignment horizontal="center"/>
    </xf>
    <xf numFmtId="203" fontId="42" fillId="0" borderId="135" xfId="0" applyNumberFormat="1" applyFont="1" applyBorder="1" applyAlignment="1" applyProtection="1">
      <alignment horizontal="center"/>
      <protection locked="0"/>
    </xf>
    <xf numFmtId="206" fontId="42" fillId="0" borderId="182" xfId="0" applyNumberFormat="1" applyFont="1" applyBorder="1" applyAlignment="1" applyProtection="1">
      <alignment horizontal="center"/>
      <protection locked="0"/>
    </xf>
    <xf numFmtId="207" fontId="42" fillId="0" borderId="140" xfId="0" applyNumberFormat="1" applyFont="1" applyBorder="1" applyAlignment="1" applyProtection="1">
      <alignment horizontal="center"/>
      <protection locked="0"/>
    </xf>
    <xf numFmtId="209" fontId="42" fillId="0" borderId="146" xfId="0" applyNumberFormat="1" applyFont="1" applyBorder="1" applyAlignment="1" applyProtection="1">
      <alignment horizontal="center"/>
      <protection locked="0"/>
    </xf>
    <xf numFmtId="21" fontId="13" fillId="11" borderId="87" xfId="0" applyNumberFormat="1" applyFont="1" applyFill="1" applyBorder="1" applyAlignment="1" applyProtection="1">
      <alignment horizontal="center"/>
    </xf>
    <xf numFmtId="211" fontId="42" fillId="0" borderId="135" xfId="0" applyNumberFormat="1" applyFont="1" applyBorder="1" applyAlignment="1" applyProtection="1">
      <alignment horizontal="center"/>
      <protection locked="0"/>
    </xf>
    <xf numFmtId="213" fontId="42" fillId="0" borderId="140" xfId="0" applyNumberFormat="1" applyFont="1" applyBorder="1" applyAlignment="1" applyProtection="1">
      <alignment horizontal="center"/>
      <protection locked="0"/>
    </xf>
    <xf numFmtId="0" fontId="0" fillId="0" borderId="59" xfId="0" applyFill="1" applyBorder="1" applyAlignment="1" applyProtection="1">
      <alignment horizontal="center"/>
    </xf>
    <xf numFmtId="0" fontId="0" fillId="0" borderId="0" xfId="0" applyFill="1" applyBorder="1" applyAlignment="1" applyProtection="1">
      <alignment horizontal="center"/>
    </xf>
    <xf numFmtId="0" fontId="0" fillId="0" borderId="205" xfId="0" applyFill="1" applyBorder="1" applyAlignment="1" applyProtection="1">
      <alignment horizontal="center"/>
    </xf>
    <xf numFmtId="214" fontId="42" fillId="0" borderId="140" xfId="0" applyNumberFormat="1" applyFont="1" applyBorder="1" applyAlignment="1" applyProtection="1">
      <alignment horizontal="center"/>
      <protection locked="0"/>
    </xf>
    <xf numFmtId="216" fontId="42" fillId="0" borderId="143" xfId="0" applyNumberFormat="1" applyFont="1" applyBorder="1" applyAlignment="1" applyProtection="1">
      <alignment horizontal="center"/>
      <protection locked="0"/>
    </xf>
    <xf numFmtId="0" fontId="13" fillId="2" borderId="18" xfId="0" applyFont="1" applyFill="1" applyBorder="1" applyAlignment="1" applyProtection="1">
      <alignment horizontal="center"/>
    </xf>
    <xf numFmtId="0" fontId="7" fillId="2" borderId="227" xfId="0" applyFont="1" applyFill="1" applyBorder="1" applyAlignment="1" applyProtection="1">
      <alignment horizontal="center"/>
    </xf>
    <xf numFmtId="0" fontId="7" fillId="2" borderId="56" xfId="0" applyFont="1" applyFill="1" applyBorder="1" applyAlignment="1" applyProtection="1">
      <alignment horizontal="center" vertical="center"/>
    </xf>
    <xf numFmtId="173" fontId="13" fillId="2" borderId="13" xfId="0" applyNumberFormat="1" applyFont="1" applyFill="1" applyBorder="1" applyAlignment="1" applyProtection="1">
      <alignment horizontal="center"/>
    </xf>
    <xf numFmtId="0" fontId="10" fillId="2" borderId="125" xfId="0" applyFont="1" applyFill="1" applyBorder="1" applyAlignment="1" applyProtection="1">
      <alignment horizontal="center"/>
    </xf>
    <xf numFmtId="218" fontId="6" fillId="15" borderId="229" xfId="0" applyNumberFormat="1" applyFont="1" applyFill="1" applyBorder="1" applyAlignment="1" applyProtection="1">
      <alignment horizontal="center"/>
    </xf>
    <xf numFmtId="219" fontId="6" fillId="15" borderId="230" xfId="0" applyNumberFormat="1" applyFont="1" applyFill="1" applyBorder="1" applyAlignment="1" applyProtection="1">
      <alignment horizontal="center"/>
    </xf>
    <xf numFmtId="0" fontId="7" fillId="2" borderId="107" xfId="0" applyFont="1" applyFill="1" applyBorder="1" applyAlignment="1" applyProtection="1">
      <alignment horizontal="center" vertical="center"/>
    </xf>
    <xf numFmtId="173" fontId="13" fillId="2" borderId="221" xfId="0" applyNumberFormat="1" applyFont="1" applyFill="1" applyBorder="1" applyAlignment="1" applyProtection="1">
      <alignment horizontal="center"/>
    </xf>
    <xf numFmtId="0" fontId="10" fillId="2" borderId="31" xfId="0" applyFont="1" applyFill="1" applyBorder="1" applyAlignment="1" applyProtection="1">
      <alignment horizontal="center" vertical="top"/>
    </xf>
    <xf numFmtId="219" fontId="42" fillId="0" borderId="182" xfId="0" applyNumberFormat="1" applyFont="1" applyBorder="1" applyAlignment="1" applyProtection="1">
      <alignment horizontal="center"/>
      <protection locked="0"/>
    </xf>
    <xf numFmtId="200" fontId="6" fillId="15" borderId="232" xfId="0" applyNumberFormat="1" applyFont="1" applyFill="1" applyBorder="1" applyAlignment="1" applyProtection="1">
      <alignment horizontal="center"/>
    </xf>
    <xf numFmtId="218" fontId="6" fillId="15" borderId="233" xfId="0" applyNumberFormat="1" applyFont="1" applyFill="1" applyBorder="1" applyAlignment="1" applyProtection="1">
      <alignment horizontal="center"/>
    </xf>
    <xf numFmtId="0" fontId="7" fillId="2" borderId="64" xfId="0" applyFont="1" applyFill="1" applyBorder="1" applyAlignment="1" applyProtection="1">
      <alignment horizontal="center" vertical="center"/>
    </xf>
    <xf numFmtId="172" fontId="44" fillId="2" borderId="19" xfId="0" applyNumberFormat="1" applyFont="1" applyFill="1" applyBorder="1" applyAlignment="1" applyProtection="1">
      <alignment horizontal="center" vertical="top"/>
    </xf>
    <xf numFmtId="172" fontId="44" fillId="2" borderId="20" xfId="0" applyNumberFormat="1" applyFont="1" applyFill="1" applyBorder="1" applyAlignment="1" applyProtection="1">
      <alignment horizontal="center" vertical="top"/>
    </xf>
    <xf numFmtId="172" fontId="45" fillId="2" borderId="234" xfId="0" applyNumberFormat="1" applyFont="1" applyFill="1" applyBorder="1" applyAlignment="1" applyProtection="1">
      <alignment horizontal="center" vertical="top"/>
    </xf>
    <xf numFmtId="173" fontId="13" fillId="2" borderId="21" xfId="0" applyNumberFormat="1" applyFont="1" applyFill="1" applyBorder="1" applyAlignment="1" applyProtection="1">
      <alignment horizontal="center"/>
    </xf>
    <xf numFmtId="173" fontId="7" fillId="8" borderId="21" xfId="0" applyNumberFormat="1" applyFont="1" applyFill="1" applyBorder="1" applyAlignment="1" applyProtection="1">
      <alignment horizontal="center"/>
    </xf>
    <xf numFmtId="218" fontId="42" fillId="0" borderId="146" xfId="0" applyNumberFormat="1" applyFont="1" applyBorder="1" applyAlignment="1" applyProtection="1">
      <alignment horizontal="center"/>
      <protection locked="0"/>
    </xf>
    <xf numFmtId="200" fontId="6" fillId="15" borderId="235" xfId="0" applyNumberFormat="1" applyFont="1" applyFill="1" applyBorder="1" applyAlignment="1" applyProtection="1">
      <alignment horizontal="center"/>
    </xf>
    <xf numFmtId="219" fontId="6" fillId="15" borderId="236" xfId="0" applyNumberFormat="1" applyFont="1" applyFill="1" applyBorder="1" applyAlignment="1" applyProtection="1">
      <alignment horizontal="center"/>
    </xf>
    <xf numFmtId="0" fontId="7" fillId="2" borderId="11" xfId="0" applyFont="1" applyFill="1" applyBorder="1" applyAlignment="1" applyProtection="1">
      <alignment horizontal="center"/>
    </xf>
    <xf numFmtId="0" fontId="10" fillId="2" borderId="191" xfId="0" applyFont="1" applyFill="1" applyBorder="1" applyAlignment="1" applyProtection="1">
      <alignment horizontal="center"/>
    </xf>
    <xf numFmtId="213" fontId="42" fillId="0" borderId="135" xfId="0" applyNumberFormat="1" applyFont="1" applyBorder="1" applyAlignment="1" applyProtection="1">
      <alignment horizontal="center"/>
      <protection locked="0"/>
    </xf>
    <xf numFmtId="220" fontId="6" fillId="15" borderId="230" xfId="0" applyNumberFormat="1" applyFont="1" applyFill="1" applyBorder="1" applyAlignment="1" applyProtection="1">
      <alignment horizontal="center"/>
    </xf>
    <xf numFmtId="0" fontId="7" fillId="2" borderId="107" xfId="0" applyFont="1" applyFill="1" applyBorder="1" applyAlignment="1" applyProtection="1">
      <alignment horizontal="center"/>
    </xf>
    <xf numFmtId="220" fontId="42" fillId="0" borderId="140" xfId="0" applyNumberFormat="1" applyFont="1" applyBorder="1" applyAlignment="1" applyProtection="1">
      <alignment horizontal="center"/>
      <protection locked="0"/>
    </xf>
    <xf numFmtId="201" fontId="6" fillId="15" borderId="232" xfId="0" applyNumberFormat="1" applyFont="1" applyFill="1" applyBorder="1" applyAlignment="1" applyProtection="1">
      <alignment horizontal="center"/>
    </xf>
    <xf numFmtId="0" fontId="7" fillId="2" borderId="52" xfId="0" applyFont="1" applyFill="1" applyBorder="1" applyAlignment="1" applyProtection="1">
      <alignment horizontal="center"/>
    </xf>
    <xf numFmtId="201" fontId="6" fillId="15" borderId="235" xfId="0" applyNumberFormat="1" applyFont="1" applyFill="1" applyBorder="1" applyAlignment="1" applyProtection="1">
      <alignment horizontal="center"/>
    </xf>
    <xf numFmtId="220" fontId="6" fillId="15" borderId="236" xfId="0" applyNumberFormat="1" applyFont="1" applyFill="1" applyBorder="1" applyAlignment="1" applyProtection="1">
      <alignment horizontal="center"/>
    </xf>
    <xf numFmtId="0" fontId="0" fillId="0" borderId="89" xfId="0" applyBorder="1" applyProtection="1"/>
    <xf numFmtId="0" fontId="9" fillId="0" borderId="89" xfId="0" applyFont="1" applyBorder="1" applyAlignment="1" applyProtection="1">
      <alignment horizontal="center"/>
    </xf>
    <xf numFmtId="0" fontId="9" fillId="0" borderId="202" xfId="0" applyFont="1" applyBorder="1" applyAlignment="1" applyProtection="1">
      <alignment horizontal="center"/>
    </xf>
    <xf numFmtId="0" fontId="10" fillId="2" borderId="19" xfId="0" applyFont="1" applyFill="1" applyBorder="1" applyAlignment="1" applyProtection="1">
      <alignment horizontal="center"/>
    </xf>
    <xf numFmtId="0" fontId="7" fillId="2" borderId="238" xfId="0" applyFont="1" applyFill="1" applyBorder="1" applyAlignment="1" applyProtection="1">
      <alignment horizontal="center"/>
    </xf>
    <xf numFmtId="177" fontId="2" fillId="15" borderId="239" xfId="0" applyNumberFormat="1" applyFont="1" applyFill="1" applyBorder="1" applyAlignment="1" applyProtection="1">
      <alignment horizontal="center"/>
    </xf>
    <xf numFmtId="172" fontId="2" fillId="15" borderId="240" xfId="0" applyNumberFormat="1" applyFont="1" applyFill="1" applyBorder="1" applyAlignment="1" applyProtection="1">
      <alignment horizontal="center"/>
    </xf>
    <xf numFmtId="0" fontId="7" fillId="2" borderId="62" xfId="0" applyFont="1" applyFill="1" applyBorder="1" applyAlignment="1" applyProtection="1">
      <alignment horizontal="center"/>
    </xf>
    <xf numFmtId="173" fontId="7" fillId="8" borderId="243" xfId="0" applyNumberFormat="1" applyFont="1" applyFill="1" applyBorder="1" applyAlignment="1" applyProtection="1">
      <alignment horizontal="center"/>
    </xf>
    <xf numFmtId="0" fontId="2" fillId="0" borderId="205" xfId="0" applyFont="1" applyBorder="1" applyProtection="1"/>
    <xf numFmtId="0" fontId="7" fillId="2" borderId="211" xfId="0" applyFont="1" applyFill="1" applyBorder="1" applyAlignment="1" applyProtection="1">
      <alignment horizontal="center"/>
    </xf>
    <xf numFmtId="177" fontId="2" fillId="15" borderId="215" xfId="0" applyNumberFormat="1" applyFont="1" applyFill="1" applyBorder="1" applyAlignment="1" applyProtection="1">
      <alignment horizontal="center"/>
    </xf>
    <xf numFmtId="172" fontId="2" fillId="15" borderId="42" xfId="0" applyNumberFormat="1" applyFont="1" applyFill="1" applyBorder="1" applyAlignment="1" applyProtection="1">
      <alignment horizontal="center"/>
    </xf>
    <xf numFmtId="0" fontId="13" fillId="0" borderId="244" xfId="0" applyFont="1" applyFill="1" applyBorder="1" applyAlignment="1">
      <alignment horizontal="center"/>
    </xf>
    <xf numFmtId="172" fontId="13" fillId="8" borderId="245" xfId="0" applyNumberFormat="1" applyFont="1" applyFill="1" applyBorder="1" applyAlignment="1" applyProtection="1">
      <alignment horizontal="center"/>
    </xf>
    <xf numFmtId="172" fontId="13" fillId="8" borderId="246" xfId="0" applyNumberFormat="1" applyFont="1" applyFill="1" applyBorder="1" applyAlignment="1" applyProtection="1">
      <alignment horizontal="center"/>
    </xf>
    <xf numFmtId="172" fontId="13" fillId="8" borderId="247" xfId="0" applyNumberFormat="1" applyFont="1" applyFill="1" applyBorder="1" applyAlignment="1" applyProtection="1">
      <alignment horizontal="center"/>
    </xf>
    <xf numFmtId="172" fontId="13" fillId="8" borderId="248" xfId="0" applyNumberFormat="1" applyFont="1" applyFill="1" applyBorder="1" applyAlignment="1" applyProtection="1">
      <alignment horizontal="center"/>
    </xf>
    <xf numFmtId="172" fontId="13" fillId="8" borderId="249" xfId="0" applyNumberFormat="1" applyFont="1" applyFill="1" applyBorder="1" applyAlignment="1" applyProtection="1">
      <alignment horizontal="center"/>
    </xf>
    <xf numFmtId="172" fontId="13" fillId="8" borderId="250" xfId="0" applyNumberFormat="1" applyFont="1" applyFill="1" applyBorder="1" applyAlignment="1" applyProtection="1">
      <alignment horizontal="center"/>
    </xf>
    <xf numFmtId="0" fontId="0" fillId="0" borderId="125" xfId="0" applyBorder="1" applyProtection="1"/>
    <xf numFmtId="0" fontId="0" fillId="0" borderId="89" xfId="0" applyBorder="1" applyAlignment="1" applyProtection="1">
      <alignment horizontal="center"/>
    </xf>
    <xf numFmtId="0" fontId="1" fillId="0" borderId="89" xfId="0" applyFont="1" applyBorder="1" applyProtection="1"/>
    <xf numFmtId="0" fontId="7" fillId="0" borderId="89" xfId="0" applyFont="1" applyBorder="1" applyProtection="1"/>
    <xf numFmtId="0" fontId="0" fillId="0" borderId="202" xfId="0" applyBorder="1" applyProtection="1"/>
    <xf numFmtId="0" fontId="20" fillId="0" borderId="0" xfId="0" applyFont="1" applyBorder="1" applyAlignment="1" applyProtection="1"/>
    <xf numFmtId="0" fontId="20" fillId="0" borderId="0" xfId="0" applyFont="1" applyBorder="1" applyAlignment="1" applyProtection="1">
      <alignment horizontal="center"/>
    </xf>
    <xf numFmtId="0" fontId="0" fillId="0" borderId="0" xfId="0" applyNumberFormat="1" applyBorder="1" applyAlignment="1" applyProtection="1">
      <alignment horizontal="center"/>
    </xf>
    <xf numFmtId="0" fontId="6" fillId="0" borderId="68" xfId="0" applyFont="1" applyBorder="1" applyAlignment="1" applyProtection="1">
      <alignment horizontal="center"/>
    </xf>
    <xf numFmtId="0" fontId="0" fillId="0" borderId="141" xfId="0" applyBorder="1" applyAlignment="1" applyProtection="1">
      <alignment horizontal="center"/>
    </xf>
    <xf numFmtId="0" fontId="2" fillId="0" borderId="141" xfId="0" applyFont="1" applyFill="1" applyBorder="1" applyAlignment="1" applyProtection="1">
      <alignment horizontal="center"/>
    </xf>
    <xf numFmtId="173" fontId="0" fillId="0" borderId="251" xfId="0" applyNumberFormat="1" applyBorder="1" applyAlignment="1" applyProtection="1">
      <alignment horizontal="center"/>
    </xf>
    <xf numFmtId="176" fontId="0" fillId="0" borderId="251" xfId="0" applyNumberFormat="1" applyBorder="1" applyAlignment="1" applyProtection="1">
      <alignment horizontal="center"/>
    </xf>
    <xf numFmtId="0" fontId="0" fillId="0" borderId="148" xfId="0" applyBorder="1" applyProtection="1"/>
    <xf numFmtId="173" fontId="0" fillId="0" borderId="252" xfId="0" applyNumberFormat="1" applyBorder="1" applyAlignment="1" applyProtection="1">
      <alignment horizontal="center"/>
    </xf>
    <xf numFmtId="176" fontId="0" fillId="0" borderId="252" xfId="0" applyNumberFormat="1" applyBorder="1" applyAlignment="1" applyProtection="1">
      <alignment horizontal="center"/>
    </xf>
    <xf numFmtId="0" fontId="0" fillId="0" borderId="141" xfId="0" applyBorder="1" applyProtection="1"/>
    <xf numFmtId="176" fontId="0" fillId="0" borderId="253" xfId="0" applyNumberFormat="1" applyBorder="1" applyAlignment="1" applyProtection="1">
      <alignment horizontal="center"/>
    </xf>
    <xf numFmtId="0" fontId="1" fillId="0" borderId="107" xfId="0" applyNumberFormat="1" applyFont="1" applyFill="1" applyBorder="1" applyProtection="1"/>
    <xf numFmtId="0" fontId="1" fillId="0" borderId="0" xfId="0" applyNumberFormat="1" applyFont="1" applyFill="1" applyBorder="1" applyProtection="1"/>
    <xf numFmtId="0" fontId="0" fillId="0" borderId="141" xfId="0" applyFill="1" applyBorder="1" applyProtection="1"/>
    <xf numFmtId="173" fontId="0" fillId="0" borderId="109" xfId="0" applyNumberFormat="1" applyBorder="1" applyAlignment="1" applyProtection="1">
      <alignment horizontal="center"/>
    </xf>
    <xf numFmtId="176" fontId="0" fillId="0" borderId="109" xfId="0" applyNumberFormat="1" applyBorder="1" applyAlignment="1" applyProtection="1">
      <alignment horizontal="center"/>
    </xf>
    <xf numFmtId="0" fontId="2" fillId="0" borderId="26" xfId="0" applyFont="1" applyBorder="1" applyAlignment="1" applyProtection="1">
      <alignment horizontal="center"/>
    </xf>
    <xf numFmtId="0" fontId="2" fillId="0" borderId="26" xfId="0" applyFont="1" applyBorder="1" applyProtection="1"/>
    <xf numFmtId="0" fontId="2" fillId="0" borderId="36" xfId="0" applyFont="1" applyBorder="1" applyProtection="1"/>
    <xf numFmtId="0" fontId="2" fillId="0" borderId="253" xfId="0" applyFont="1" applyBorder="1" applyProtection="1"/>
    <xf numFmtId="0" fontId="2" fillId="0" borderId="60" xfId="0" applyFont="1" applyBorder="1" applyProtection="1"/>
    <xf numFmtId="0" fontId="2" fillId="0" borderId="253" xfId="0" applyFont="1" applyBorder="1" applyAlignment="1" applyProtection="1"/>
    <xf numFmtId="0" fontId="2" fillId="0" borderId="0" xfId="0" applyFont="1" applyBorder="1" applyAlignment="1" applyProtection="1"/>
    <xf numFmtId="0" fontId="13" fillId="0" borderId="253" xfId="0" applyFont="1" applyBorder="1" applyProtection="1"/>
    <xf numFmtId="0" fontId="33" fillId="0" borderId="0" xfId="2" applyFont="1" applyBorder="1" applyAlignment="1" applyProtection="1"/>
    <xf numFmtId="0" fontId="33" fillId="0" borderId="0" xfId="2" applyFont="1" applyBorder="1" applyAlignment="1" applyProtection="1">
      <alignment horizontal="left"/>
    </xf>
    <xf numFmtId="0" fontId="2" fillId="0" borderId="253" xfId="0" applyFont="1" applyFill="1" applyBorder="1" applyProtection="1"/>
    <xf numFmtId="0" fontId="2" fillId="0" borderId="29" xfId="0" applyFont="1" applyBorder="1" applyProtection="1"/>
    <xf numFmtId="0" fontId="13" fillId="0" borderId="253" xfId="0" applyFont="1" applyFill="1" applyBorder="1" applyProtection="1"/>
    <xf numFmtId="0" fontId="0" fillId="0" borderId="253" xfId="0" applyBorder="1" applyProtection="1"/>
    <xf numFmtId="0" fontId="2" fillId="0" borderId="30" xfId="0" applyFont="1" applyBorder="1" applyAlignment="1" applyProtection="1">
      <alignment horizontal="center"/>
    </xf>
    <xf numFmtId="0" fontId="2" fillId="0" borderId="30" xfId="0" applyFont="1" applyBorder="1" applyProtection="1"/>
    <xf numFmtId="0" fontId="2" fillId="0" borderId="254" xfId="0" applyFont="1" applyBorder="1" applyProtection="1"/>
    <xf numFmtId="0" fontId="0" fillId="0" borderId="0" xfId="0" applyBorder="1" applyAlignment="1" applyProtection="1">
      <alignment horizontal="right"/>
    </xf>
    <xf numFmtId="0" fontId="0" fillId="0" borderId="60" xfId="0" applyBorder="1" applyProtection="1"/>
    <xf numFmtId="0" fontId="2" fillId="0" borderId="0" xfId="0" applyFont="1" applyBorder="1" applyAlignment="1" applyProtection="1">
      <alignment horizontal="right"/>
    </xf>
    <xf numFmtId="0" fontId="20" fillId="0" borderId="253" xfId="0" applyFont="1" applyBorder="1" applyProtection="1"/>
    <xf numFmtId="0" fontId="1" fillId="0" borderId="253" xfId="0" applyFont="1" applyBorder="1" applyProtection="1"/>
    <xf numFmtId="0" fontId="23" fillId="0" borderId="0" xfId="2" applyBorder="1" applyAlignment="1" applyProtection="1">
      <alignment horizontal="left"/>
    </xf>
    <xf numFmtId="0" fontId="0" fillId="0" borderId="0" xfId="0" applyBorder="1" applyAlignment="1">
      <alignment horizontal="center"/>
    </xf>
    <xf numFmtId="0" fontId="0" fillId="0" borderId="253" xfId="0" applyFill="1" applyBorder="1" applyProtection="1"/>
    <xf numFmtId="0" fontId="0" fillId="0" borderId="217" xfId="0" applyBorder="1" applyProtection="1"/>
    <xf numFmtId="0" fontId="0" fillId="0" borderId="18" xfId="0" applyBorder="1" applyAlignment="1" applyProtection="1">
      <alignment horizontal="center"/>
    </xf>
    <xf numFmtId="0" fontId="0" fillId="0" borderId="18" xfId="0" applyBorder="1" applyProtection="1"/>
    <xf numFmtId="0" fontId="0" fillId="0" borderId="15" xfId="0" applyBorder="1" applyProtection="1"/>
    <xf numFmtId="46" fontId="6" fillId="0" borderId="53" xfId="0" applyNumberFormat="1" applyFont="1" applyFill="1" applyBorder="1" applyAlignment="1" applyProtection="1">
      <alignment horizontal="center"/>
      <protection locked="0"/>
    </xf>
    <xf numFmtId="46" fontId="6" fillId="0" borderId="54" xfId="0" applyNumberFormat="1" applyFont="1" applyFill="1" applyBorder="1" applyAlignment="1" applyProtection="1">
      <alignment horizontal="center"/>
      <protection locked="0"/>
    </xf>
    <xf numFmtId="46" fontId="6" fillId="0" borderId="144" xfId="0" applyNumberFormat="1" applyFont="1" applyFill="1" applyBorder="1" applyAlignment="1" applyProtection="1">
      <alignment horizontal="center"/>
      <protection locked="0"/>
    </xf>
    <xf numFmtId="46" fontId="6" fillId="0" borderId="10" xfId="0" applyNumberFormat="1" applyFont="1" applyFill="1" applyBorder="1" applyAlignment="1" applyProtection="1">
      <alignment horizontal="center"/>
      <protection locked="0"/>
    </xf>
    <xf numFmtId="46" fontId="6" fillId="0" borderId="255" xfId="0" applyNumberFormat="1" applyFont="1" applyFill="1" applyBorder="1" applyAlignment="1" applyProtection="1">
      <alignment horizontal="center"/>
      <protection locked="0"/>
    </xf>
    <xf numFmtId="46" fontId="6" fillId="0" borderId="256" xfId="0" applyNumberFormat="1" applyFont="1" applyFill="1" applyBorder="1" applyAlignment="1" applyProtection="1">
      <alignment horizontal="center"/>
      <protection locked="0"/>
    </xf>
    <xf numFmtId="0" fontId="0" fillId="0" borderId="29" xfId="0" applyNumberFormat="1" applyBorder="1" applyAlignment="1" applyProtection="1"/>
    <xf numFmtId="0" fontId="24" fillId="2" borderId="33" xfId="1" applyFont="1" applyFill="1" applyBorder="1" applyAlignment="1" applyProtection="1">
      <alignment horizontal="center"/>
    </xf>
    <xf numFmtId="0" fontId="24" fillId="2" borderId="37" xfId="1" applyFont="1" applyFill="1" applyBorder="1" applyAlignment="1" applyProtection="1">
      <alignment horizontal="center"/>
    </xf>
    <xf numFmtId="0" fontId="6" fillId="5" borderId="132" xfId="0" applyNumberFormat="1" applyFont="1" applyFill="1" applyBorder="1" applyAlignment="1" applyProtection="1">
      <alignment horizontal="center"/>
    </xf>
    <xf numFmtId="0" fontId="6" fillId="5" borderId="131" xfId="0" applyNumberFormat="1" applyFont="1" applyFill="1" applyBorder="1" applyAlignment="1" applyProtection="1">
      <alignment horizontal="center"/>
    </xf>
    <xf numFmtId="0" fontId="6" fillId="5" borderId="74" xfId="0" applyFont="1" applyFill="1" applyBorder="1" applyAlignment="1" applyProtection="1">
      <alignment horizontal="center"/>
    </xf>
    <xf numFmtId="0" fontId="6" fillId="5" borderId="252" xfId="0" applyFont="1" applyFill="1" applyBorder="1" applyAlignment="1" applyProtection="1">
      <alignment horizontal="center"/>
    </xf>
    <xf numFmtId="0" fontId="6" fillId="5" borderId="109" xfId="0" applyFont="1" applyFill="1" applyBorder="1" applyAlignment="1" applyProtection="1">
      <alignment horizontal="center"/>
    </xf>
    <xf numFmtId="0" fontId="6" fillId="5" borderId="252" xfId="1" applyFont="1" applyFill="1" applyBorder="1" applyAlignment="1" applyProtection="1">
      <alignment horizontal="center"/>
    </xf>
    <xf numFmtId="46" fontId="6" fillId="5" borderId="252" xfId="0" applyNumberFormat="1" applyFont="1" applyFill="1" applyBorder="1" applyAlignment="1" applyProtection="1">
      <alignment horizontal="center"/>
    </xf>
    <xf numFmtId="0" fontId="6" fillId="5" borderId="109" xfId="1" applyFont="1" applyFill="1" applyBorder="1" applyAlignment="1" applyProtection="1">
      <alignment horizontal="center"/>
    </xf>
    <xf numFmtId="46" fontId="6" fillId="23" borderId="21" xfId="0" applyNumberFormat="1" applyFont="1" applyFill="1" applyBorder="1" applyAlignment="1" applyProtection="1">
      <alignment horizontal="center" vertical="center"/>
    </xf>
    <xf numFmtId="46" fontId="6" fillId="23" borderId="205" xfId="0" applyNumberFormat="1" applyFont="1" applyFill="1" applyBorder="1" applyAlignment="1" applyProtection="1">
      <alignment horizontal="center" vertical="center"/>
    </xf>
    <xf numFmtId="46" fontId="6" fillId="23" borderId="153" xfId="0" applyNumberFormat="1" applyFont="1" applyFill="1" applyBorder="1" applyAlignment="1" applyProtection="1">
      <alignment horizontal="center" vertical="center"/>
    </xf>
    <xf numFmtId="1" fontId="6" fillId="22" borderId="81" xfId="0" applyNumberFormat="1" applyFont="1" applyFill="1" applyBorder="1" applyAlignment="1" applyProtection="1">
      <protection locked="0"/>
    </xf>
    <xf numFmtId="20" fontId="6" fillId="22" borderId="82" xfId="0" applyNumberFormat="1" applyFont="1" applyFill="1" applyBorder="1" applyAlignment="1" applyProtection="1"/>
    <xf numFmtId="0" fontId="15" fillId="22" borderId="83" xfId="0" applyFont="1" applyFill="1" applyBorder="1" applyAlignment="1" applyProtection="1">
      <alignment vertical="center"/>
      <protection locked="0"/>
    </xf>
    <xf numFmtId="0" fontId="15" fillId="22" borderId="84" xfId="0" applyFont="1" applyFill="1" applyBorder="1" applyAlignment="1" applyProtection="1">
      <alignment vertical="center"/>
      <protection locked="0"/>
    </xf>
    <xf numFmtId="0" fontId="54" fillId="0" borderId="172" xfId="0" applyNumberFormat="1" applyFont="1" applyFill="1" applyBorder="1" applyAlignment="1" applyProtection="1">
      <alignment horizontal="center"/>
    </xf>
    <xf numFmtId="170" fontId="54" fillId="0" borderId="172" xfId="0" applyNumberFormat="1" applyFont="1" applyFill="1" applyBorder="1" applyAlignment="1" applyProtection="1">
      <alignment horizontal="center"/>
    </xf>
    <xf numFmtId="170" fontId="54" fillId="0" borderId="172" xfId="0" applyNumberFormat="1" applyFont="1" applyBorder="1" applyAlignment="1" applyProtection="1">
      <alignment horizontal="center"/>
    </xf>
    <xf numFmtId="0" fontId="32" fillId="0" borderId="253" xfId="0" applyFont="1" applyBorder="1" applyProtection="1"/>
    <xf numFmtId="0" fontId="55" fillId="0" borderId="253" xfId="0" applyFont="1" applyBorder="1" applyProtection="1"/>
    <xf numFmtId="14" fontId="1" fillId="0" borderId="0" xfId="0" applyNumberFormat="1" applyFont="1" applyBorder="1" applyAlignment="1" applyProtection="1">
      <alignment horizontal="left"/>
    </xf>
    <xf numFmtId="0" fontId="2" fillId="0" borderId="29" xfId="0" applyFont="1" applyFill="1" applyBorder="1" applyProtection="1"/>
    <xf numFmtId="0" fontId="23" fillId="0" borderId="253" xfId="1" applyFont="1" applyFill="1" applyBorder="1" applyAlignment="1" applyProtection="1"/>
    <xf numFmtId="0" fontId="0" fillId="0" borderId="0" xfId="0" applyFont="1"/>
    <xf numFmtId="0" fontId="0" fillId="0" borderId="253" xfId="0" applyFont="1" applyFill="1" applyBorder="1" applyProtection="1"/>
    <xf numFmtId="0" fontId="23" fillId="0" borderId="0" xfId="1" applyBorder="1" applyAlignment="1" applyProtection="1">
      <alignment horizontal="center"/>
    </xf>
    <xf numFmtId="0" fontId="2" fillId="0" borderId="217" xfId="0" applyFont="1" applyBorder="1" applyProtection="1"/>
    <xf numFmtId="0" fontId="2" fillId="0" borderId="18" xfId="0" applyFont="1" applyBorder="1" applyAlignment="1" applyProtection="1">
      <alignment horizontal="center"/>
    </xf>
    <xf numFmtId="0" fontId="2" fillId="0" borderId="18" xfId="0" applyFont="1" applyBorder="1" applyProtection="1"/>
    <xf numFmtId="0" fontId="2" fillId="0" borderId="15" xfId="0" applyFont="1" applyBorder="1" applyProtection="1"/>
    <xf numFmtId="0" fontId="55" fillId="0" borderId="27" xfId="0" applyFont="1" applyBorder="1" applyProtection="1"/>
    <xf numFmtId="21" fontId="0" fillId="0" borderId="182" xfId="0" applyNumberFormat="1" applyFont="1" applyFill="1" applyBorder="1" applyAlignment="1" applyProtection="1">
      <alignment horizontal="center"/>
      <protection locked="0"/>
    </xf>
    <xf numFmtId="172" fontId="0" fillId="0" borderId="148" xfId="0" applyNumberFormat="1" applyFill="1" applyBorder="1" applyAlignment="1" applyProtection="1">
      <alignment horizontal="center"/>
      <protection locked="0"/>
    </xf>
    <xf numFmtId="20" fontId="0" fillId="0" borderId="148" xfId="0" applyNumberFormat="1" applyFill="1" applyBorder="1" applyAlignment="1" applyProtection="1">
      <alignment horizontal="center"/>
      <protection locked="0"/>
    </xf>
    <xf numFmtId="0" fontId="0" fillId="0" borderId="256" xfId="0" applyNumberFormat="1" applyFont="1" applyFill="1" applyBorder="1" applyAlignment="1" applyProtection="1">
      <alignment horizontal="center"/>
      <protection locked="0"/>
    </xf>
    <xf numFmtId="176" fontId="1" fillId="18" borderId="255" xfId="0" applyNumberFormat="1" applyFont="1" applyFill="1" applyBorder="1" applyAlignment="1" applyProtection="1">
      <alignment horizontal="center"/>
    </xf>
    <xf numFmtId="172" fontId="1" fillId="18" borderId="210" xfId="0" applyNumberFormat="1" applyFont="1" applyFill="1" applyBorder="1" applyAlignment="1" applyProtection="1">
      <alignment horizontal="center"/>
    </xf>
    <xf numFmtId="0" fontId="4" fillId="3" borderId="68" xfId="0" applyFont="1" applyFill="1" applyBorder="1" applyAlignment="1" applyProtection="1">
      <alignment horizontal="center"/>
      <protection locked="0"/>
    </xf>
    <xf numFmtId="0" fontId="4" fillId="3" borderId="226" xfId="0" applyFont="1" applyFill="1" applyBorder="1" applyAlignment="1" applyProtection="1">
      <alignment horizontal="center"/>
      <protection locked="0"/>
    </xf>
    <xf numFmtId="172" fontId="42" fillId="0" borderId="56" xfId="0" applyNumberFormat="1" applyFont="1" applyBorder="1" applyAlignment="1" applyProtection="1">
      <alignment horizontal="center"/>
      <protection locked="0"/>
    </xf>
    <xf numFmtId="172" fontId="42" fillId="0" borderId="228" xfId="0" applyNumberFormat="1" applyFont="1" applyBorder="1" applyAlignment="1" applyProtection="1">
      <alignment horizontal="center"/>
      <protection locked="0"/>
    </xf>
    <xf numFmtId="172" fontId="42" fillId="0" borderId="64" xfId="0" applyNumberFormat="1" applyFont="1" applyBorder="1" applyAlignment="1" applyProtection="1">
      <alignment horizontal="center"/>
      <protection locked="0"/>
    </xf>
    <xf numFmtId="172" fontId="42" fillId="0" borderId="107" xfId="0" applyNumberFormat="1" applyFont="1" applyBorder="1" applyAlignment="1" applyProtection="1">
      <alignment horizontal="center"/>
      <protection locked="0"/>
    </xf>
    <xf numFmtId="172" fontId="42" fillId="0" borderId="231" xfId="0" applyNumberFormat="1" applyFont="1" applyBorder="1" applyAlignment="1" applyProtection="1">
      <alignment horizontal="center"/>
      <protection locked="0"/>
    </xf>
    <xf numFmtId="172" fontId="42" fillId="0" borderId="237" xfId="0" applyNumberFormat="1" applyFont="1" applyBorder="1" applyAlignment="1" applyProtection="1">
      <alignment horizontal="center"/>
      <protection locked="0"/>
    </xf>
    <xf numFmtId="172" fontId="42" fillId="0" borderId="241" xfId="0" applyNumberFormat="1" applyFont="1" applyBorder="1" applyAlignment="1" applyProtection="1">
      <alignment horizontal="center"/>
      <protection locked="0"/>
    </xf>
    <xf numFmtId="172" fontId="42" fillId="0" borderId="242" xfId="0" applyNumberFormat="1" applyFont="1" applyBorder="1" applyAlignment="1" applyProtection="1">
      <alignment horizontal="center"/>
      <protection locked="0"/>
    </xf>
    <xf numFmtId="0" fontId="0" fillId="0" borderId="60" xfId="0" applyBorder="1"/>
    <xf numFmtId="0" fontId="3" fillId="0" borderId="35" xfId="0" applyNumberFormat="1" applyFont="1" applyBorder="1" applyAlignment="1" applyProtection="1">
      <alignment horizontal="center"/>
      <protection locked="0"/>
    </xf>
    <xf numFmtId="1" fontId="2" fillId="11" borderId="147" xfId="0" applyNumberFormat="1" applyFont="1" applyFill="1" applyBorder="1" applyAlignment="1" applyProtection="1">
      <alignment horizontal="center"/>
    </xf>
    <xf numFmtId="0" fontId="2" fillId="2" borderId="130" xfId="0" applyFont="1" applyFill="1" applyBorder="1" applyAlignment="1" applyProtection="1">
      <alignment horizontal="center"/>
    </xf>
    <xf numFmtId="0" fontId="2" fillId="2" borderId="45" xfId="0" applyFont="1" applyFill="1" applyBorder="1" applyAlignment="1" applyProtection="1">
      <alignment horizontal="center"/>
    </xf>
    <xf numFmtId="0" fontId="0" fillId="0" borderId="18" xfId="0" applyFill="1" applyBorder="1" applyProtection="1"/>
    <xf numFmtId="0" fontId="0" fillId="0" borderId="15" xfId="0" applyFill="1" applyBorder="1" applyProtection="1"/>
    <xf numFmtId="164" fontId="12" fillId="4" borderId="27" xfId="0" applyNumberFormat="1" applyFont="1" applyFill="1" applyBorder="1" applyAlignment="1" applyProtection="1">
      <alignment horizontal="right" vertical="top"/>
    </xf>
    <xf numFmtId="0" fontId="57" fillId="0" borderId="172" xfId="0" applyNumberFormat="1" applyFont="1" applyBorder="1" applyAlignment="1" applyProtection="1">
      <alignment horizontal="center"/>
    </xf>
    <xf numFmtId="0" fontId="1" fillId="0" borderId="74" xfId="0" applyFont="1" applyBorder="1" applyAlignment="1" applyProtection="1">
      <alignment horizontal="center"/>
    </xf>
    <xf numFmtId="0" fontId="6" fillId="0" borderId="109" xfId="0" applyFont="1" applyBorder="1" applyAlignment="1" applyProtection="1">
      <alignment horizontal="center"/>
    </xf>
    <xf numFmtId="0" fontId="1" fillId="0" borderId="109" xfId="0" applyFont="1" applyBorder="1" applyAlignment="1" applyProtection="1">
      <alignment horizontal="center"/>
    </xf>
    <xf numFmtId="0" fontId="6" fillId="0" borderId="53" xfId="0" applyFont="1" applyFill="1" applyBorder="1" applyAlignment="1" applyProtection="1">
      <alignment horizontal="center"/>
    </xf>
    <xf numFmtId="0" fontId="6" fillId="0" borderId="137" xfId="0" applyFont="1" applyFill="1" applyBorder="1" applyAlignment="1" applyProtection="1">
      <alignment horizontal="center"/>
    </xf>
    <xf numFmtId="0" fontId="6" fillId="0" borderId="178" xfId="0" applyFont="1" applyFill="1" applyBorder="1" applyAlignment="1" applyProtection="1">
      <alignment horizontal="center"/>
    </xf>
    <xf numFmtId="0" fontId="1" fillId="0" borderId="56" xfId="0" applyNumberFormat="1" applyFont="1" applyBorder="1" applyProtection="1"/>
    <xf numFmtId="0" fontId="1" fillId="0" borderId="107" xfId="0" applyNumberFormat="1" applyFont="1" applyBorder="1" applyProtection="1"/>
    <xf numFmtId="164" fontId="2" fillId="13" borderId="215" xfId="0" applyNumberFormat="1" applyFont="1" applyFill="1" applyBorder="1" applyAlignment="1" applyProtection="1">
      <alignment horizontal="center"/>
    </xf>
    <xf numFmtId="164" fontId="2" fillId="13" borderId="42" xfId="0" applyNumberFormat="1" applyFont="1" applyFill="1" applyBorder="1" applyAlignment="1" applyProtection="1">
      <alignment horizontal="center"/>
    </xf>
    <xf numFmtId="164" fontId="2" fillId="16" borderId="239" xfId="0" applyNumberFormat="1" applyFont="1" applyFill="1" applyBorder="1" applyAlignment="1" applyProtection="1">
      <alignment horizontal="center"/>
    </xf>
    <xf numFmtId="164" fontId="2" fillId="16" borderId="240" xfId="0" applyNumberFormat="1" applyFont="1" applyFill="1" applyBorder="1" applyAlignment="1" applyProtection="1">
      <alignment horizontal="center"/>
    </xf>
    <xf numFmtId="0" fontId="24" fillId="0" borderId="70" xfId="1" applyFont="1" applyBorder="1" applyAlignment="1" applyProtection="1">
      <alignment vertical="center"/>
    </xf>
    <xf numFmtId="0" fontId="24" fillId="0" borderId="186" xfId="1" applyFont="1" applyBorder="1" applyAlignment="1" applyProtection="1">
      <alignment vertical="center"/>
    </xf>
    <xf numFmtId="0" fontId="58" fillId="0" borderId="253" xfId="0" applyFont="1" applyBorder="1" applyProtection="1"/>
    <xf numFmtId="0" fontId="0" fillId="0" borderId="26" xfId="0" applyFill="1" applyBorder="1" applyProtection="1"/>
    <xf numFmtId="0" fontId="56" fillId="2" borderId="82" xfId="0" applyNumberFormat="1" applyFont="1" applyFill="1" applyBorder="1" applyAlignment="1" applyProtection="1">
      <alignment horizontal="center" vertical="top"/>
      <protection locked="0" hidden="1"/>
    </xf>
    <xf numFmtId="2" fontId="3" fillId="0" borderId="70" xfId="0" applyNumberFormat="1" applyFont="1" applyBorder="1" applyAlignment="1" applyProtection="1">
      <alignment horizontal="center"/>
      <protection locked="0"/>
    </xf>
    <xf numFmtId="0" fontId="0" fillId="0" borderId="253" xfId="0" applyBorder="1"/>
    <xf numFmtId="0" fontId="0" fillId="0" borderId="0" xfId="0" applyBorder="1"/>
    <xf numFmtId="0" fontId="6" fillId="2" borderId="70" xfId="0" applyFont="1" applyFill="1" applyBorder="1" applyAlignment="1" applyProtection="1">
      <alignment horizontal="center"/>
    </xf>
    <xf numFmtId="0" fontId="1" fillId="0" borderId="27" xfId="0" applyFont="1" applyBorder="1" applyAlignment="1" applyProtection="1">
      <alignment horizontal="center"/>
    </xf>
    <xf numFmtId="0" fontId="1" fillId="0" borderId="132" xfId="0" applyFont="1" applyBorder="1" applyAlignment="1" applyProtection="1">
      <alignment horizontal="center"/>
    </xf>
    <xf numFmtId="0" fontId="1" fillId="0" borderId="130" xfId="0" applyFont="1" applyBorder="1" applyAlignment="1" applyProtection="1">
      <alignment horizontal="center"/>
    </xf>
    <xf numFmtId="0" fontId="1" fillId="0" borderId="131" xfId="0" applyFont="1" applyBorder="1" applyAlignment="1" applyProtection="1">
      <alignment horizontal="center"/>
    </xf>
    <xf numFmtId="10" fontId="1" fillId="0" borderId="54" xfId="0" applyNumberFormat="1" applyFont="1" applyBorder="1" applyAlignment="1" applyProtection="1">
      <alignment horizontal="center"/>
    </xf>
    <xf numFmtId="10" fontId="0" fillId="0" borderId="53" xfId="0" applyNumberFormat="1" applyBorder="1" applyAlignment="1" applyProtection="1">
      <alignment horizontal="center"/>
    </xf>
    <xf numFmtId="10" fontId="0" fillId="0" borderId="54" xfId="0" applyNumberFormat="1" applyBorder="1" applyAlignment="1" applyProtection="1">
      <alignment horizontal="center"/>
    </xf>
    <xf numFmtId="2" fontId="0" fillId="0" borderId="53" xfId="0" applyNumberFormat="1" applyBorder="1" applyAlignment="1" applyProtection="1">
      <alignment horizontal="center"/>
    </xf>
    <xf numFmtId="2" fontId="0" fillId="0" borderId="54" xfId="0" applyNumberFormat="1" applyBorder="1" applyAlignment="1" applyProtection="1">
      <alignment horizontal="center"/>
    </xf>
    <xf numFmtId="10" fontId="0" fillId="0" borderId="8" xfId="0" applyNumberFormat="1" applyBorder="1" applyAlignment="1" applyProtection="1">
      <alignment horizontal="center"/>
    </xf>
    <xf numFmtId="10" fontId="0" fillId="0" borderId="137" xfId="0" applyNumberFormat="1" applyBorder="1" applyAlignment="1" applyProtection="1">
      <alignment horizontal="center"/>
    </xf>
    <xf numFmtId="2" fontId="0" fillId="0" borderId="255" xfId="0" applyNumberFormat="1" applyBorder="1" applyAlignment="1" applyProtection="1">
      <alignment horizontal="center"/>
    </xf>
    <xf numFmtId="2" fontId="0" fillId="0" borderId="256" xfId="0" applyNumberFormat="1" applyBorder="1" applyAlignment="1" applyProtection="1">
      <alignment horizontal="center"/>
    </xf>
    <xf numFmtId="2" fontId="0" fillId="0" borderId="137" xfId="0" applyNumberFormat="1" applyBorder="1" applyAlignment="1" applyProtection="1">
      <alignment horizontal="center"/>
    </xf>
    <xf numFmtId="2" fontId="0" fillId="0" borderId="8" xfId="0" applyNumberFormat="1" applyBorder="1" applyAlignment="1" applyProtection="1">
      <alignment horizontal="center"/>
    </xf>
    <xf numFmtId="10" fontId="0" fillId="0" borderId="17" xfId="0" applyNumberFormat="1" applyBorder="1" applyAlignment="1" applyProtection="1">
      <alignment horizontal="center"/>
    </xf>
    <xf numFmtId="10" fontId="0" fillId="0" borderId="178" xfId="0" applyNumberFormat="1" applyBorder="1" applyAlignment="1" applyProtection="1">
      <alignment horizontal="center"/>
    </xf>
    <xf numFmtId="2" fontId="0" fillId="0" borderId="178" xfId="0" applyNumberFormat="1" applyBorder="1" applyAlignment="1" applyProtection="1">
      <alignment horizontal="center"/>
    </xf>
    <xf numFmtId="2" fontId="0" fillId="0" borderId="17" xfId="0" applyNumberFormat="1" applyBorder="1" applyAlignment="1" applyProtection="1">
      <alignment horizontal="center"/>
    </xf>
    <xf numFmtId="0" fontId="6" fillId="2" borderId="186" xfId="0" applyFont="1" applyFill="1" applyBorder="1" applyAlignment="1" applyProtection="1">
      <alignment horizontal="center"/>
    </xf>
    <xf numFmtId="10" fontId="6" fillId="9" borderId="23" xfId="0" applyNumberFormat="1" applyFont="1" applyFill="1" applyBorder="1" applyAlignment="1" applyProtection="1">
      <alignment horizontal="center"/>
    </xf>
    <xf numFmtId="21" fontId="6" fillId="9" borderId="23" xfId="0" applyNumberFormat="1" applyFont="1" applyFill="1" applyBorder="1" applyAlignment="1" applyProtection="1">
      <alignment horizontal="center"/>
    </xf>
    <xf numFmtId="21" fontId="6" fillId="9" borderId="225" xfId="0" applyNumberFormat="1" applyFont="1" applyFill="1" applyBorder="1" applyAlignment="1" applyProtection="1">
      <alignment horizontal="center"/>
    </xf>
    <xf numFmtId="0" fontId="0" fillId="2" borderId="81" xfId="0" applyFill="1" applyBorder="1" applyAlignment="1" applyProtection="1"/>
    <xf numFmtId="0" fontId="0" fillId="2" borderId="82" xfId="0" applyFill="1" applyBorder="1" applyAlignment="1" applyProtection="1"/>
    <xf numFmtId="0" fontId="14" fillId="2" borderId="161" xfId="0" applyFont="1" applyFill="1" applyBorder="1" applyAlignment="1" applyProtection="1">
      <protection locked="0"/>
    </xf>
    <xf numFmtId="0" fontId="9" fillId="0" borderId="25" xfId="0" applyFont="1" applyFill="1" applyBorder="1" applyAlignment="1" applyProtection="1">
      <alignment vertical="center"/>
    </xf>
    <xf numFmtId="0" fontId="9" fillId="0" borderId="26" xfId="0" applyFont="1" applyFill="1" applyBorder="1" applyAlignment="1" applyProtection="1">
      <alignment vertical="center"/>
    </xf>
    <xf numFmtId="0" fontId="9" fillId="0" borderId="191" xfId="0" applyFont="1" applyFill="1" applyBorder="1" applyAlignment="1" applyProtection="1">
      <alignment horizontal="right" vertical="center"/>
    </xf>
    <xf numFmtId="14" fontId="53" fillId="3" borderId="5" xfId="0" applyNumberFormat="1" applyFont="1" applyFill="1" applyBorder="1" applyAlignment="1" applyProtection="1">
      <alignment horizontal="center" vertical="center"/>
    </xf>
    <xf numFmtId="14" fontId="53" fillId="3" borderId="6" xfId="0" applyNumberFormat="1" applyFont="1" applyFill="1" applyBorder="1" applyAlignment="1" applyProtection="1">
      <alignment horizontal="center" vertical="center"/>
    </xf>
    <xf numFmtId="172" fontId="3" fillId="0" borderId="22" xfId="0" applyNumberFormat="1" applyFont="1" applyFill="1" applyBorder="1" applyAlignment="1" applyProtection="1">
      <alignment horizontal="center"/>
      <protection locked="0"/>
    </xf>
    <xf numFmtId="172" fontId="3" fillId="0" borderId="211" xfId="0" applyNumberFormat="1" applyFont="1" applyFill="1" applyBorder="1" applyAlignment="1" applyProtection="1">
      <alignment horizontal="center"/>
      <protection locked="0"/>
    </xf>
    <xf numFmtId="0" fontId="62" fillId="9" borderId="174" xfId="0" applyFont="1" applyFill="1" applyBorder="1" applyAlignment="1" applyProtection="1">
      <protection locked="0"/>
    </xf>
    <xf numFmtId="0" fontId="6" fillId="8" borderId="7" xfId="0" applyFont="1" applyFill="1" applyBorder="1" applyAlignment="1" applyProtection="1">
      <alignment horizontal="center"/>
    </xf>
    <xf numFmtId="0" fontId="2" fillId="2" borderId="203" xfId="0" applyFont="1" applyFill="1" applyBorder="1" applyAlignment="1" applyProtection="1">
      <alignment horizontal="right"/>
    </xf>
    <xf numFmtId="21" fontId="6" fillId="2" borderId="203" xfId="0" applyNumberFormat="1" applyFont="1" applyFill="1" applyBorder="1" applyAlignment="1" applyProtection="1">
      <alignment horizontal="center"/>
    </xf>
    <xf numFmtId="21" fontId="6" fillId="2" borderId="70" xfId="0" applyNumberFormat="1" applyFont="1" applyFill="1" applyBorder="1" applyAlignment="1" applyProtection="1">
      <alignment horizontal="center"/>
    </xf>
    <xf numFmtId="0" fontId="7" fillId="2" borderId="130" xfId="0" applyFont="1" applyFill="1" applyBorder="1" applyAlignment="1" applyProtection="1">
      <alignment horizontal="center"/>
    </xf>
    <xf numFmtId="172" fontId="20" fillId="14" borderId="261" xfId="0" applyNumberFormat="1" applyFont="1" applyFill="1" applyBorder="1" applyAlignment="1" applyProtection="1">
      <alignment horizontal="center"/>
    </xf>
    <xf numFmtId="46" fontId="13" fillId="14" borderId="262" xfId="0" applyNumberFormat="1" applyFont="1" applyFill="1" applyBorder="1" applyAlignment="1" applyProtection="1">
      <alignment horizontal="center"/>
    </xf>
    <xf numFmtId="182" fontId="20" fillId="14" borderId="263" xfId="0" applyNumberFormat="1" applyFont="1" applyFill="1" applyBorder="1" applyAlignment="1" applyProtection="1">
      <alignment horizontal="center"/>
    </xf>
    <xf numFmtId="172" fontId="2" fillId="14" borderId="264" xfId="0" applyNumberFormat="1" applyFont="1" applyFill="1" applyBorder="1" applyAlignment="1" applyProtection="1">
      <alignment horizontal="center"/>
    </xf>
    <xf numFmtId="172" fontId="2" fillId="14" borderId="209" xfId="0" applyNumberFormat="1" applyFont="1" applyFill="1" applyBorder="1" applyAlignment="1" applyProtection="1">
      <alignment horizontal="center"/>
    </xf>
    <xf numFmtId="46" fontId="2" fillId="14" borderId="24" xfId="0" applyNumberFormat="1" applyFont="1" applyFill="1" applyBorder="1" applyAlignment="1" applyProtection="1">
      <alignment horizontal="center"/>
    </xf>
    <xf numFmtId="182" fontId="2" fillId="14" borderId="180" xfId="0" applyNumberFormat="1" applyFont="1" applyFill="1" applyBorder="1" applyAlignment="1" applyProtection="1">
      <alignment horizontal="center"/>
    </xf>
    <xf numFmtId="0" fontId="13" fillId="2" borderId="36" xfId="0" applyFont="1" applyFill="1" applyBorder="1" applyAlignment="1" applyProtection="1"/>
    <xf numFmtId="0" fontId="0" fillId="0" borderId="70" xfId="0" applyBorder="1" applyAlignment="1" applyProtection="1"/>
    <xf numFmtId="223" fontId="9" fillId="8" borderId="59" xfId="0" applyNumberFormat="1" applyFont="1" applyFill="1" applyBorder="1" applyAlignment="1" applyProtection="1">
      <alignment horizontal="center" vertical="center"/>
    </xf>
    <xf numFmtId="224" fontId="9" fillId="11" borderId="145" xfId="0" applyNumberFormat="1" applyFont="1" applyFill="1" applyBorder="1" applyAlignment="1" applyProtection="1">
      <alignment horizontal="center" vertical="center"/>
    </xf>
    <xf numFmtId="0" fontId="9" fillId="0" borderId="0" xfId="0" applyFont="1" applyAlignment="1" applyProtection="1">
      <alignment vertical="top"/>
    </xf>
    <xf numFmtId="0" fontId="35" fillId="2" borderId="0" xfId="0" applyFont="1" applyFill="1" applyBorder="1" applyAlignment="1" applyProtection="1">
      <alignment horizontal="center"/>
    </xf>
    <xf numFmtId="224" fontId="9" fillId="11" borderId="208" xfId="0" applyNumberFormat="1" applyFont="1" applyFill="1" applyBorder="1" applyAlignment="1" applyProtection="1">
      <alignment horizontal="center" vertical="center"/>
    </xf>
    <xf numFmtId="0" fontId="7" fillId="2" borderId="171" xfId="0" applyFont="1" applyFill="1" applyBorder="1" applyAlignment="1" applyProtection="1">
      <alignment horizontal="center"/>
    </xf>
    <xf numFmtId="0" fontId="2" fillId="2" borderId="59" xfId="0" applyFont="1" applyFill="1" applyBorder="1" applyAlignment="1" applyProtection="1"/>
    <xf numFmtId="0" fontId="2" fillId="2" borderId="0" xfId="0" applyFont="1" applyFill="1" applyBorder="1" applyAlignment="1" applyProtection="1"/>
    <xf numFmtId="10" fontId="6" fillId="9" borderId="30" xfId="0" applyNumberFormat="1" applyFont="1" applyFill="1" applyBorder="1" applyAlignment="1" applyProtection="1">
      <alignment horizontal="center"/>
    </xf>
    <xf numFmtId="21" fontId="6" fillId="9" borderId="30" xfId="0" applyNumberFormat="1" applyFont="1" applyFill="1" applyBorder="1" applyAlignment="1" applyProtection="1">
      <alignment horizontal="center"/>
    </xf>
    <xf numFmtId="10" fontId="6" fillId="9" borderId="268" xfId="0" applyNumberFormat="1" applyFont="1" applyFill="1" applyBorder="1" applyAlignment="1" applyProtection="1">
      <alignment horizontal="center"/>
    </xf>
    <xf numFmtId="21" fontId="6" fillId="9" borderId="273" xfId="0" applyNumberFormat="1" applyFont="1" applyFill="1" applyBorder="1" applyAlignment="1" applyProtection="1">
      <alignment horizontal="center"/>
    </xf>
    <xf numFmtId="21" fontId="3" fillId="0" borderId="274" xfId="0" applyNumberFormat="1" applyFont="1" applyFill="1" applyBorder="1" applyAlignment="1" applyProtection="1">
      <alignment horizontal="center"/>
      <protection locked="0"/>
    </xf>
    <xf numFmtId="21" fontId="3" fillId="0" borderId="17" xfId="0" applyNumberFormat="1" applyFont="1" applyFill="1" applyBorder="1" applyAlignment="1" applyProtection="1">
      <alignment horizontal="center"/>
      <protection locked="0"/>
    </xf>
    <xf numFmtId="2" fontId="34" fillId="0" borderId="70" xfId="0" applyNumberFormat="1" applyFont="1" applyFill="1" applyBorder="1" applyAlignment="1" applyProtection="1">
      <alignment horizontal="center"/>
    </xf>
    <xf numFmtId="2" fontId="0" fillId="0" borderId="0" xfId="0" applyNumberFormat="1" applyAlignment="1" applyProtection="1">
      <alignment horizontal="center"/>
    </xf>
    <xf numFmtId="172" fontId="2" fillId="20" borderId="130" xfId="0" applyNumberFormat="1" applyFont="1" applyFill="1" applyBorder="1" applyAlignment="1" applyProtection="1">
      <alignment horizontal="center"/>
    </xf>
    <xf numFmtId="172" fontId="2" fillId="20" borderId="203" xfId="0" applyNumberFormat="1" applyFont="1" applyFill="1" applyBorder="1" applyAlignment="1" applyProtection="1">
      <alignment horizontal="center"/>
    </xf>
    <xf numFmtId="172" fontId="2" fillId="20" borderId="169" xfId="0" applyNumberFormat="1" applyFont="1" applyFill="1" applyBorder="1" applyAlignment="1" applyProtection="1">
      <alignment horizontal="center"/>
    </xf>
    <xf numFmtId="172" fontId="0" fillId="0" borderId="0" xfId="0" applyNumberFormat="1" applyAlignment="1" applyProtection="1">
      <alignment horizontal="center"/>
    </xf>
    <xf numFmtId="172" fontId="2" fillId="20" borderId="260" xfId="0" applyNumberFormat="1" applyFont="1" applyFill="1" applyBorder="1" applyAlignment="1" applyProtection="1">
      <alignment horizontal="center"/>
    </xf>
    <xf numFmtId="0" fontId="14" fillId="2" borderId="60" xfId="0" applyFont="1" applyFill="1" applyBorder="1" applyAlignment="1" applyProtection="1">
      <alignment horizontal="center"/>
      <protection hidden="1"/>
    </xf>
    <xf numFmtId="0" fontId="9" fillId="0" borderId="33" xfId="0" applyFont="1" applyFill="1" applyBorder="1" applyAlignment="1" applyProtection="1">
      <alignment vertical="top"/>
    </xf>
    <xf numFmtId="0" fontId="9" fillId="0" borderId="0" xfId="0" applyFont="1" applyBorder="1" applyAlignment="1" applyProtection="1">
      <alignment vertical="top"/>
    </xf>
    <xf numFmtId="0" fontId="16" fillId="0" borderId="33" xfId="0" applyFont="1" applyBorder="1" applyProtection="1"/>
    <xf numFmtId="0" fontId="65" fillId="0" borderId="0" xfId="3" applyFont="1" applyAlignment="1"/>
    <xf numFmtId="0" fontId="1" fillId="0" borderId="0" xfId="3" applyFont="1" applyAlignment="1">
      <alignment wrapText="1"/>
    </xf>
    <xf numFmtId="0" fontId="1" fillId="0" borderId="0" xfId="3" applyFont="1" applyAlignment="1">
      <alignment vertical="top" wrapText="1"/>
    </xf>
    <xf numFmtId="164" fontId="64" fillId="26" borderId="17" xfId="3" applyNumberFormat="1" applyFont="1" applyFill="1" applyBorder="1" applyAlignment="1">
      <alignment vertical="top" wrapText="1"/>
    </xf>
    <xf numFmtId="164" fontId="64" fillId="26" borderId="147" xfId="3" applyNumberFormat="1" applyFont="1" applyFill="1" applyBorder="1" applyAlignment="1">
      <alignment vertical="top" wrapText="1"/>
    </xf>
    <xf numFmtId="164" fontId="64" fillId="27" borderId="147" xfId="3" applyNumberFormat="1" applyFont="1" applyFill="1" applyBorder="1" applyAlignment="1">
      <alignment vertical="top" wrapText="1"/>
    </xf>
    <xf numFmtId="0" fontId="64" fillId="28" borderId="147" xfId="3" applyFont="1" applyFill="1" applyBorder="1" applyAlignment="1">
      <alignment vertical="top" wrapText="1"/>
    </xf>
    <xf numFmtId="0" fontId="64" fillId="28" borderId="147" xfId="3" applyFont="1" applyFill="1" applyBorder="1" applyAlignment="1">
      <alignment wrapText="1"/>
    </xf>
    <xf numFmtId="0" fontId="64" fillId="28" borderId="178" xfId="3" applyFont="1" applyFill="1" applyBorder="1" applyAlignment="1">
      <alignment wrapText="1"/>
    </xf>
    <xf numFmtId="0" fontId="64" fillId="26" borderId="8" xfId="3" applyFont="1" applyFill="1" applyBorder="1" applyAlignment="1">
      <alignment wrapText="1"/>
    </xf>
    <xf numFmtId="0" fontId="64" fillId="26" borderId="141" xfId="3" applyFont="1" applyFill="1" applyBorder="1" applyAlignment="1">
      <alignment wrapText="1"/>
    </xf>
    <xf numFmtId="0" fontId="64" fillId="27" borderId="141" xfId="3" applyFont="1" applyFill="1" applyBorder="1" applyAlignment="1">
      <alignment wrapText="1"/>
    </xf>
    <xf numFmtId="0" fontId="66" fillId="27" borderId="141" xfId="3" applyFont="1" applyFill="1" applyBorder="1" applyAlignment="1"/>
    <xf numFmtId="0" fontId="64" fillId="27" borderId="141" xfId="3" applyFont="1" applyFill="1" applyBorder="1" applyAlignment="1">
      <alignment vertical="top" wrapText="1"/>
    </xf>
    <xf numFmtId="225" fontId="64" fillId="28" borderId="141" xfId="3" applyNumberFormat="1" applyFont="1" applyFill="1" applyBorder="1" applyAlignment="1">
      <alignment vertical="top" wrapText="1"/>
    </xf>
    <xf numFmtId="164" fontId="64" fillId="28" borderId="141" xfId="3" applyNumberFormat="1" applyFont="1" applyFill="1" applyBorder="1" applyAlignment="1">
      <alignment vertical="top" wrapText="1"/>
    </xf>
    <xf numFmtId="0" fontId="64" fillId="28" borderId="141" xfId="3" applyFont="1" applyFill="1" applyBorder="1" applyAlignment="1">
      <alignment wrapText="1"/>
    </xf>
    <xf numFmtId="21" fontId="64" fillId="28" borderId="137" xfId="3" applyNumberFormat="1" applyFont="1" applyFill="1" applyBorder="1" applyAlignment="1">
      <alignment wrapText="1"/>
    </xf>
    <xf numFmtId="164" fontId="1" fillId="27" borderId="8" xfId="3" applyNumberFormat="1" applyFont="1" applyFill="1" applyBorder="1" applyAlignment="1">
      <alignment vertical="top" wrapText="1"/>
    </xf>
    <xf numFmtId="164" fontId="1" fillId="27" borderId="141" xfId="3" applyNumberFormat="1" applyFont="1" applyFill="1" applyBorder="1" applyAlignment="1">
      <alignment vertical="top" wrapText="1"/>
    </xf>
    <xf numFmtId="0" fontId="1" fillId="27" borderId="141" xfId="3" applyFont="1" applyFill="1" applyBorder="1" applyAlignment="1">
      <alignment vertical="top" wrapText="1"/>
    </xf>
    <xf numFmtId="0" fontId="1" fillId="27" borderId="141" xfId="3" applyFont="1" applyFill="1" applyBorder="1" applyAlignment="1">
      <alignment wrapText="1"/>
    </xf>
    <xf numFmtId="0" fontId="1" fillId="27" borderId="137" xfId="3" applyFont="1" applyFill="1" applyBorder="1" applyAlignment="1">
      <alignment wrapText="1"/>
    </xf>
    <xf numFmtId="0" fontId="1" fillId="0" borderId="8" xfId="3" applyFont="1" applyBorder="1" applyAlignment="1">
      <alignment wrapText="1"/>
    </xf>
    <xf numFmtId="0" fontId="1" fillId="0" borderId="141" xfId="3" applyFont="1" applyBorder="1" applyAlignment="1">
      <alignment wrapText="1"/>
    </xf>
    <xf numFmtId="0" fontId="65" fillId="0" borderId="141" xfId="3" applyFont="1" applyBorder="1" applyAlignment="1"/>
    <xf numFmtId="0" fontId="1" fillId="0" borderId="141" xfId="3" applyFont="1" applyBorder="1" applyAlignment="1">
      <alignment vertical="top" wrapText="1"/>
    </xf>
    <xf numFmtId="20" fontId="1" fillId="0" borderId="141" xfId="3" applyNumberFormat="1" applyFont="1" applyBorder="1" applyAlignment="1">
      <alignment vertical="top" wrapText="1"/>
    </xf>
    <xf numFmtId="0" fontId="1" fillId="0" borderId="137" xfId="3" applyFont="1" applyBorder="1" applyAlignment="1">
      <alignment wrapText="1"/>
    </xf>
    <xf numFmtId="0" fontId="1" fillId="0" borderId="8" xfId="3" applyFont="1" applyBorder="1" applyAlignment="1">
      <alignment horizontal="right" vertical="center" wrapText="1"/>
    </xf>
    <xf numFmtId="0" fontId="1" fillId="0" borderId="141" xfId="3" applyFont="1" applyBorder="1" applyAlignment="1">
      <alignment horizontal="right" vertical="center" wrapText="1"/>
    </xf>
    <xf numFmtId="0" fontId="65" fillId="0" borderId="141" xfId="3" applyFont="1" applyBorder="1" applyAlignment="1">
      <alignment horizontal="right" vertical="center"/>
    </xf>
    <xf numFmtId="20" fontId="1" fillId="0" borderId="141" xfId="3" applyNumberFormat="1" applyFont="1" applyBorder="1" applyAlignment="1">
      <alignment horizontal="right" vertical="center" wrapText="1"/>
    </xf>
    <xf numFmtId="0" fontId="1" fillId="0" borderId="141" xfId="3" applyFont="1" applyBorder="1" applyAlignment="1">
      <alignment horizontal="left" vertical="top" wrapText="1"/>
    </xf>
    <xf numFmtId="0" fontId="1" fillId="0" borderId="137" xfId="3" applyFont="1" applyBorder="1" applyAlignment="1">
      <alignment horizontal="left" vertical="top" wrapText="1"/>
    </xf>
    <xf numFmtId="0" fontId="20" fillId="29" borderId="8" xfId="3" applyFont="1" applyFill="1" applyBorder="1" applyAlignment="1">
      <alignment vertical="center" wrapText="1"/>
    </xf>
    <xf numFmtId="0" fontId="20" fillId="29" borderId="141" xfId="3" applyFont="1" applyFill="1" applyBorder="1" applyAlignment="1">
      <alignment vertical="center" wrapText="1"/>
    </xf>
    <xf numFmtId="0" fontId="67" fillId="29" borderId="141" xfId="3" applyFont="1" applyFill="1" applyBorder="1" applyAlignment="1">
      <alignment vertical="center"/>
    </xf>
    <xf numFmtId="0" fontId="67" fillId="29" borderId="137" xfId="3" applyFont="1" applyFill="1" applyBorder="1" applyAlignment="1">
      <alignment vertical="center" wrapText="1"/>
    </xf>
    <xf numFmtId="0" fontId="20" fillId="29" borderId="54" xfId="3" applyFont="1" applyFill="1" applyBorder="1" applyAlignment="1">
      <alignment wrapText="1"/>
    </xf>
    <xf numFmtId="0" fontId="20" fillId="29" borderId="136" xfId="3" applyFont="1" applyFill="1" applyBorder="1" applyAlignment="1">
      <alignment wrapText="1"/>
    </xf>
    <xf numFmtId="0" fontId="20" fillId="29" borderId="136" xfId="3" applyFont="1" applyFill="1" applyBorder="1" applyAlignment="1">
      <alignment vertical="top" wrapText="1"/>
    </xf>
    <xf numFmtId="0" fontId="20" fillId="29" borderId="53" xfId="3" applyFont="1" applyFill="1" applyBorder="1" applyAlignment="1">
      <alignment vertical="top" wrapText="1"/>
    </xf>
    <xf numFmtId="0" fontId="68" fillId="0" borderId="0" xfId="3" applyFont="1" applyAlignment="1"/>
    <xf numFmtId="0" fontId="1" fillId="0" borderId="0" xfId="3" applyFont="1" applyAlignment="1">
      <alignment horizontal="right" wrapText="1"/>
    </xf>
    <xf numFmtId="0" fontId="69" fillId="0" borderId="68" xfId="3" applyFont="1" applyBorder="1" applyAlignment="1">
      <alignment vertical="top" wrapText="1"/>
    </xf>
    <xf numFmtId="0" fontId="71" fillId="0" borderId="74" xfId="3" applyFont="1" applyBorder="1" applyAlignment="1">
      <alignment vertical="center"/>
    </xf>
    <xf numFmtId="0" fontId="1" fillId="0" borderId="36" xfId="3" applyFont="1" applyBorder="1" applyAlignment="1">
      <alignment wrapText="1"/>
    </xf>
    <xf numFmtId="0" fontId="1" fillId="0" borderId="26" xfId="3" applyFont="1" applyBorder="1" applyAlignment="1">
      <alignment wrapText="1"/>
    </xf>
    <xf numFmtId="0" fontId="72" fillId="0" borderId="26" xfId="3" applyFont="1" applyBorder="1" applyAlignment="1">
      <alignment wrapText="1"/>
    </xf>
    <xf numFmtId="0" fontId="73" fillId="0" borderId="27" xfId="3" applyFont="1" applyBorder="1" applyAlignment="1">
      <alignment vertical="center"/>
    </xf>
    <xf numFmtId="45" fontId="20" fillId="30" borderId="147" xfId="3" applyNumberFormat="1" applyFont="1" applyFill="1" applyBorder="1" applyAlignment="1">
      <alignment horizontal="center" wrapText="1"/>
    </xf>
    <xf numFmtId="9" fontId="1" fillId="23" borderId="147" xfId="3" applyNumberFormat="1" applyFont="1" applyFill="1" applyBorder="1" applyAlignment="1">
      <alignment horizontal="center" wrapText="1"/>
    </xf>
    <xf numFmtId="1" fontId="1" fillId="23" borderId="147" xfId="3" applyNumberFormat="1" applyFont="1" applyFill="1" applyBorder="1" applyAlignment="1">
      <alignment horizontal="center" wrapText="1"/>
    </xf>
    <xf numFmtId="9" fontId="1" fillId="29" borderId="147" xfId="3" applyNumberFormat="1" applyFont="1" applyFill="1" applyBorder="1" applyAlignment="1">
      <alignment horizontal="center" wrapText="1"/>
    </xf>
    <xf numFmtId="1" fontId="1" fillId="29" borderId="147" xfId="3" applyNumberFormat="1" applyFont="1" applyFill="1" applyBorder="1" applyAlignment="1">
      <alignment horizontal="center" wrapText="1"/>
    </xf>
    <xf numFmtId="0" fontId="1" fillId="0" borderId="147" xfId="3" applyFont="1" applyBorder="1" applyAlignment="1">
      <alignment wrapText="1"/>
    </xf>
    <xf numFmtId="0" fontId="74" fillId="0" borderId="178" xfId="3" applyFont="1" applyBorder="1" applyAlignment="1">
      <alignment vertical="center"/>
    </xf>
    <xf numFmtId="45" fontId="20" fillId="30" borderId="141" xfId="3" applyNumberFormat="1" applyFont="1" applyFill="1" applyBorder="1" applyAlignment="1">
      <alignment horizontal="center" wrapText="1"/>
    </xf>
    <xf numFmtId="9" fontId="1" fillId="23" borderId="141" xfId="3" applyNumberFormat="1" applyFont="1" applyFill="1" applyBorder="1" applyAlignment="1">
      <alignment horizontal="center" wrapText="1"/>
    </xf>
    <xf numFmtId="1" fontId="1" fillId="23" borderId="141" xfId="3" applyNumberFormat="1" applyFont="1" applyFill="1" applyBorder="1" applyAlignment="1">
      <alignment horizontal="center" wrapText="1"/>
    </xf>
    <xf numFmtId="9" fontId="1" fillId="29" borderId="141" xfId="3" applyNumberFormat="1" applyFont="1" applyFill="1" applyBorder="1" applyAlignment="1">
      <alignment horizontal="center" wrapText="1"/>
    </xf>
    <xf numFmtId="1" fontId="1" fillId="29" borderId="141" xfId="3" applyNumberFormat="1" applyFont="1" applyFill="1" applyBorder="1" applyAlignment="1">
      <alignment horizontal="center" wrapText="1"/>
    </xf>
    <xf numFmtId="0" fontId="74" fillId="0" borderId="137" xfId="3" applyFont="1" applyBorder="1" applyAlignment="1">
      <alignment vertical="center"/>
    </xf>
    <xf numFmtId="0" fontId="1" fillId="27" borderId="8" xfId="3" applyFont="1" applyFill="1" applyBorder="1" applyAlignment="1"/>
    <xf numFmtId="45" fontId="1" fillId="27" borderId="141" xfId="3" applyNumberFormat="1" applyFont="1" applyFill="1" applyBorder="1" applyAlignment="1">
      <alignment horizontal="center" wrapText="1"/>
    </xf>
    <xf numFmtId="45" fontId="1" fillId="27" borderId="141" xfId="3" applyNumberFormat="1" applyFont="1" applyFill="1" applyBorder="1" applyAlignment="1">
      <alignment horizontal="center" vertical="top" wrapText="1"/>
    </xf>
    <xf numFmtId="9" fontId="1" fillId="31" borderId="141" xfId="3" applyNumberFormat="1" applyFont="1" applyFill="1" applyBorder="1" applyAlignment="1">
      <alignment horizontal="center" wrapText="1"/>
    </xf>
    <xf numFmtId="9" fontId="1" fillId="32" borderId="141" xfId="3" applyNumberFormat="1" applyFont="1" applyFill="1" applyBorder="1" applyAlignment="1">
      <alignment horizontal="center" wrapText="1"/>
    </xf>
    <xf numFmtId="0" fontId="1" fillId="27" borderId="8" xfId="3" applyFont="1" applyFill="1" applyBorder="1" applyAlignment="1">
      <alignment wrapText="1"/>
    </xf>
    <xf numFmtId="9" fontId="63" fillId="32" borderId="141" xfId="3" applyNumberFormat="1" applyFont="1" applyFill="1" applyBorder="1" applyAlignment="1">
      <alignment horizontal="center" wrapText="1"/>
    </xf>
    <xf numFmtId="0" fontId="1" fillId="33" borderId="141" xfId="3" applyFont="1" applyFill="1" applyBorder="1" applyAlignment="1">
      <alignment wrapText="1"/>
    </xf>
    <xf numFmtId="0" fontId="1" fillId="33" borderId="141" xfId="3" applyFont="1" applyFill="1" applyBorder="1" applyAlignment="1">
      <alignment horizontal="center" wrapText="1"/>
    </xf>
    <xf numFmtId="0" fontId="1" fillId="33" borderId="137" xfId="3" applyFont="1" applyFill="1" applyBorder="1" applyAlignment="1">
      <alignment wrapText="1"/>
    </xf>
    <xf numFmtId="0" fontId="20" fillId="27" borderId="136" xfId="3" applyFont="1" applyFill="1" applyBorder="1" applyAlignment="1">
      <alignment wrapText="1"/>
    </xf>
    <xf numFmtId="0" fontId="75" fillId="23" borderId="136" xfId="3" applyFont="1" applyFill="1" applyBorder="1" applyAlignment="1">
      <alignment horizontal="center" wrapText="1"/>
    </xf>
    <xf numFmtId="0" fontId="20" fillId="23" borderId="136" xfId="3" applyFont="1" applyFill="1" applyBorder="1" applyAlignment="1">
      <alignment horizontal="center" wrapText="1"/>
    </xf>
    <xf numFmtId="0" fontId="75" fillId="29" borderId="136" xfId="3" applyFont="1" applyFill="1" applyBorder="1" applyAlignment="1">
      <alignment horizontal="center" wrapText="1"/>
    </xf>
    <xf numFmtId="0" fontId="20" fillId="29" borderId="136" xfId="3" applyFont="1" applyFill="1" applyBorder="1" applyAlignment="1">
      <alignment horizontal="center" wrapText="1"/>
    </xf>
    <xf numFmtId="0" fontId="76" fillId="0" borderId="136" xfId="3" applyFont="1" applyBorder="1" applyAlignment="1">
      <alignment horizontal="center" wrapText="1"/>
    </xf>
    <xf numFmtId="0" fontId="20" fillId="0" borderId="53" xfId="3" applyFont="1" applyBorder="1" applyAlignment="1">
      <alignment wrapText="1"/>
    </xf>
    <xf numFmtId="0" fontId="77" fillId="0" borderId="0" xfId="3" applyFont="1" applyBorder="1" applyAlignment="1">
      <alignment vertical="top" wrapText="1"/>
    </xf>
    <xf numFmtId="0" fontId="78" fillId="34" borderId="275" xfId="3" applyFont="1" applyFill="1" applyBorder="1" applyAlignment="1">
      <alignment horizontal="center" vertical="center" wrapText="1"/>
    </xf>
    <xf numFmtId="0" fontId="77" fillId="0" borderId="275" xfId="3" applyFont="1" applyBorder="1" applyAlignment="1">
      <alignment vertical="top" wrapText="1"/>
    </xf>
    <xf numFmtId="0" fontId="77" fillId="35" borderId="275" xfId="3" applyFont="1" applyFill="1" applyBorder="1" applyAlignment="1">
      <alignment vertical="top" wrapText="1"/>
    </xf>
    <xf numFmtId="0" fontId="77" fillId="36" borderId="15" xfId="3" applyFont="1" applyFill="1" applyBorder="1" applyAlignment="1">
      <alignment horizontal="left" vertical="top" wrapText="1"/>
    </xf>
    <xf numFmtId="16" fontId="80" fillId="37" borderId="275" xfId="3" applyNumberFormat="1" applyFont="1" applyFill="1" applyBorder="1" applyAlignment="1">
      <alignment vertical="top" wrapText="1"/>
    </xf>
    <xf numFmtId="0" fontId="77" fillId="38" borderId="276" xfId="3" applyFont="1" applyFill="1" applyBorder="1" applyAlignment="1">
      <alignment horizontal="center" vertical="top" wrapText="1"/>
    </xf>
    <xf numFmtId="0" fontId="77" fillId="36" borderId="276" xfId="3" applyFont="1" applyFill="1" applyBorder="1" applyAlignment="1">
      <alignment horizontal="left" vertical="top" wrapText="1"/>
    </xf>
    <xf numFmtId="0" fontId="77" fillId="39" borderId="275" xfId="3" applyFont="1" applyFill="1" applyBorder="1" applyAlignment="1">
      <alignment vertical="top" wrapText="1"/>
    </xf>
    <xf numFmtId="0" fontId="65" fillId="0" borderId="252" xfId="3" applyFont="1" applyBorder="1" applyAlignment="1"/>
    <xf numFmtId="0" fontId="77" fillId="40" borderId="276" xfId="3" applyFont="1" applyFill="1" applyBorder="1" applyAlignment="1">
      <alignment horizontal="left" vertical="top" wrapText="1"/>
    </xf>
    <xf numFmtId="0" fontId="77" fillId="40" borderId="278" xfId="3" applyFont="1" applyFill="1" applyBorder="1" applyAlignment="1">
      <alignment horizontal="left" vertical="top" wrapText="1"/>
    </xf>
    <xf numFmtId="0" fontId="77" fillId="38" borderId="279" xfId="3" applyFont="1" applyFill="1" applyBorder="1" applyAlignment="1">
      <alignment horizontal="center" vertical="top" wrapText="1"/>
    </xf>
    <xf numFmtId="0" fontId="77" fillId="41" borderId="15" xfId="3" applyFont="1" applyFill="1" applyBorder="1" applyAlignment="1">
      <alignment horizontal="left" vertical="top" wrapText="1"/>
    </xf>
    <xf numFmtId="0" fontId="77" fillId="41" borderId="276" xfId="3" applyFont="1" applyFill="1" applyBorder="1" applyAlignment="1">
      <alignment horizontal="left" vertical="top" wrapText="1"/>
    </xf>
    <xf numFmtId="0" fontId="77" fillId="41" borderId="278" xfId="3" applyFont="1" applyFill="1" applyBorder="1" applyAlignment="1">
      <alignment horizontal="left" vertical="top" wrapText="1"/>
    </xf>
    <xf numFmtId="0" fontId="77" fillId="42" borderId="15" xfId="3" applyFont="1" applyFill="1" applyBorder="1" applyAlignment="1">
      <alignment horizontal="left" vertical="top" wrapText="1"/>
    </xf>
    <xf numFmtId="0" fontId="77" fillId="42" borderId="276" xfId="3" applyFont="1" applyFill="1" applyBorder="1" applyAlignment="1">
      <alignment horizontal="left" vertical="top" wrapText="1"/>
    </xf>
    <xf numFmtId="0" fontId="77" fillId="42" borderId="278" xfId="3" applyFont="1" applyFill="1" applyBorder="1" applyAlignment="1">
      <alignment horizontal="left" vertical="top" wrapText="1"/>
    </xf>
    <xf numFmtId="0" fontId="85" fillId="44" borderId="275" xfId="3" applyFont="1" applyFill="1" applyBorder="1" applyAlignment="1">
      <alignment horizontal="center" vertical="center" wrapText="1"/>
    </xf>
    <xf numFmtId="0" fontId="85" fillId="45" borderId="275" xfId="3" applyFont="1" applyFill="1" applyBorder="1" applyAlignment="1">
      <alignment horizontal="center" vertical="center" wrapText="1"/>
    </xf>
    <xf numFmtId="0" fontId="1" fillId="27" borderId="173" xfId="3" applyFont="1" applyFill="1" applyBorder="1" applyAlignment="1">
      <alignment wrapText="1"/>
    </xf>
    <xf numFmtId="0" fontId="1" fillId="27" borderId="70" xfId="3" applyFont="1" applyFill="1" applyBorder="1" applyAlignment="1">
      <alignment wrapText="1"/>
    </xf>
    <xf numFmtId="0" fontId="86" fillId="46" borderId="280" xfId="3" applyFont="1" applyFill="1" applyBorder="1" applyAlignment="1" applyProtection="1">
      <alignment vertical="center"/>
      <protection locked="0"/>
    </xf>
    <xf numFmtId="0" fontId="5" fillId="38" borderId="282" xfId="3" applyFont="1" applyFill="1" applyBorder="1" applyAlignment="1">
      <alignment horizontal="center" vertical="center" wrapText="1"/>
    </xf>
    <xf numFmtId="0" fontId="65" fillId="27" borderId="68" xfId="3" applyFont="1" applyFill="1" applyBorder="1" applyAlignment="1"/>
    <xf numFmtId="0" fontId="65" fillId="0" borderId="0" xfId="3" applyFont="1" applyAlignment="1">
      <alignment horizontal="center"/>
    </xf>
    <xf numFmtId="0" fontId="84" fillId="47" borderId="285" xfId="3" applyFont="1" applyFill="1" applyBorder="1" applyAlignment="1">
      <alignment horizontal="center" vertical="center"/>
    </xf>
    <xf numFmtId="0" fontId="65" fillId="0" borderId="0" xfId="3" applyFont="1" applyAlignment="1">
      <alignment vertical="center"/>
    </xf>
    <xf numFmtId="0" fontId="65" fillId="0" borderId="291" xfId="3" applyFont="1" applyBorder="1" applyAlignment="1">
      <alignment horizontal="center" vertical="center"/>
    </xf>
    <xf numFmtId="0" fontId="87" fillId="0" borderId="0" xfId="3" applyFont="1" applyBorder="1" applyAlignment="1">
      <alignment vertical="center" wrapText="1"/>
    </xf>
    <xf numFmtId="21" fontId="65" fillId="0" borderId="291" xfId="3" applyNumberFormat="1" applyFont="1" applyBorder="1" applyAlignment="1">
      <alignment horizontal="center" vertical="center"/>
    </xf>
    <xf numFmtId="45" fontId="65" fillId="0" borderId="291" xfId="3" applyNumberFormat="1" applyFont="1" applyBorder="1" applyAlignment="1">
      <alignment horizontal="center" vertical="center"/>
    </xf>
    <xf numFmtId="0" fontId="92" fillId="0" borderId="0" xfId="4" applyFont="1" applyAlignment="1">
      <alignment vertical="center"/>
    </xf>
    <xf numFmtId="0" fontId="89" fillId="23" borderId="292" xfId="3" applyFont="1" applyFill="1" applyBorder="1" applyAlignment="1">
      <alignment horizontal="center" vertical="center"/>
    </xf>
    <xf numFmtId="45" fontId="93" fillId="23" borderId="292" xfId="3" applyNumberFormat="1" applyFont="1" applyFill="1" applyBorder="1" applyAlignment="1">
      <alignment horizontal="center" vertical="center"/>
    </xf>
    <xf numFmtId="20" fontId="93" fillId="23" borderId="292" xfId="3" applyNumberFormat="1" applyFont="1" applyFill="1" applyBorder="1" applyAlignment="1">
      <alignment horizontal="center" vertical="center"/>
    </xf>
    <xf numFmtId="0" fontId="84" fillId="23" borderId="289" xfId="3" applyFont="1" applyFill="1" applyBorder="1" applyAlignment="1">
      <alignment horizontal="right" vertical="center"/>
    </xf>
    <xf numFmtId="0" fontId="84" fillId="23" borderId="290" xfId="3" applyFont="1" applyFill="1" applyBorder="1" applyAlignment="1">
      <alignment horizontal="center" vertical="center"/>
    </xf>
    <xf numFmtId="0" fontId="84" fillId="23" borderId="288" xfId="3" applyFont="1" applyFill="1" applyBorder="1" applyAlignment="1">
      <alignment horizontal="left" vertical="center"/>
    </xf>
    <xf numFmtId="9" fontId="84" fillId="23" borderId="289" xfId="3" applyNumberFormat="1" applyFont="1" applyFill="1" applyBorder="1" applyAlignment="1">
      <alignment vertical="center"/>
    </xf>
    <xf numFmtId="9" fontId="84" fillId="23" borderId="288" xfId="3" applyNumberFormat="1" applyFont="1" applyFill="1" applyBorder="1" applyAlignment="1">
      <alignment horizontal="left" vertical="center"/>
    </xf>
    <xf numFmtId="0" fontId="84" fillId="23" borderId="289" xfId="3" applyFont="1" applyFill="1" applyBorder="1" applyAlignment="1">
      <alignment vertical="center"/>
    </xf>
    <xf numFmtId="0" fontId="65" fillId="23" borderId="292" xfId="3" applyFont="1" applyFill="1" applyBorder="1" applyAlignment="1">
      <alignment horizontal="center"/>
    </xf>
    <xf numFmtId="0" fontId="65" fillId="23" borderId="289" xfId="3" applyFont="1" applyFill="1" applyBorder="1" applyAlignment="1">
      <alignment horizontal="center"/>
    </xf>
    <xf numFmtId="0" fontId="65" fillId="23" borderId="290" xfId="3" applyFont="1" applyFill="1" applyBorder="1" applyAlignment="1">
      <alignment horizontal="center"/>
    </xf>
    <xf numFmtId="0" fontId="65" fillId="23" borderId="288" xfId="3" applyFont="1" applyFill="1" applyBorder="1" applyAlignment="1">
      <alignment horizontal="center"/>
    </xf>
    <xf numFmtId="0" fontId="65" fillId="23" borderId="289" xfId="3" applyFont="1" applyFill="1" applyBorder="1"/>
    <xf numFmtId="0" fontId="65" fillId="23" borderId="290" xfId="3" applyFont="1" applyFill="1" applyBorder="1"/>
    <xf numFmtId="0" fontId="65" fillId="23" borderId="288" xfId="3" applyFont="1" applyFill="1" applyBorder="1"/>
    <xf numFmtId="45" fontId="65" fillId="0" borderId="291" xfId="3" applyNumberFormat="1" applyFont="1" applyBorder="1" applyAlignment="1">
      <alignment horizontal="center"/>
    </xf>
    <xf numFmtId="0" fontId="94" fillId="0" borderId="0" xfId="3" applyFont="1"/>
    <xf numFmtId="0" fontId="84" fillId="47" borderId="293" xfId="3" applyFont="1" applyFill="1" applyBorder="1" applyAlignment="1">
      <alignment horizontal="center" vertical="center"/>
    </xf>
    <xf numFmtId="0" fontId="88" fillId="0" borderId="0" xfId="3" applyFont="1" applyBorder="1" applyAlignment="1" applyProtection="1">
      <protection locked="0"/>
    </xf>
    <xf numFmtId="0" fontId="67" fillId="23" borderId="18" xfId="3" applyFont="1" applyFill="1" applyBorder="1" applyAlignment="1">
      <alignment horizontal="center" vertical="center"/>
    </xf>
    <xf numFmtId="0" fontId="67" fillId="0" borderId="0" xfId="3" applyFont="1" applyBorder="1" applyAlignment="1">
      <alignment horizontal="left" vertical="center"/>
    </xf>
    <xf numFmtId="0" fontId="67" fillId="0" borderId="0" xfId="3" applyFont="1" applyBorder="1" applyAlignment="1">
      <alignment horizontal="center" vertical="center"/>
    </xf>
    <xf numFmtId="0" fontId="83" fillId="23" borderId="294" xfId="3" applyFont="1" applyFill="1" applyBorder="1" applyAlignment="1">
      <alignment horizontal="center"/>
    </xf>
    <xf numFmtId="0" fontId="83" fillId="23" borderId="298" xfId="3" applyFont="1" applyFill="1" applyBorder="1" applyAlignment="1">
      <alignment horizontal="center"/>
    </xf>
    <xf numFmtId="0" fontId="83" fillId="23" borderId="302" xfId="3" applyFont="1" applyFill="1" applyBorder="1" applyAlignment="1">
      <alignment horizontal="center"/>
    </xf>
    <xf numFmtId="49" fontId="65" fillId="0" borderId="291" xfId="3" applyNumberFormat="1" applyFont="1" applyBorder="1" applyAlignment="1">
      <alignment horizontal="center"/>
    </xf>
    <xf numFmtId="0" fontId="82" fillId="0" borderId="0" xfId="3" applyFont="1" applyAlignment="1">
      <alignment horizontal="center"/>
    </xf>
    <xf numFmtId="21" fontId="76" fillId="38" borderId="281" xfId="3" applyNumberFormat="1" applyFont="1" applyFill="1" applyBorder="1" applyAlignment="1">
      <alignment horizontal="center" vertical="center" wrapText="1"/>
    </xf>
    <xf numFmtId="0" fontId="84" fillId="47" borderId="306" xfId="3" applyFont="1" applyFill="1" applyBorder="1" applyAlignment="1">
      <alignment horizontal="center" vertical="center"/>
    </xf>
    <xf numFmtId="0" fontId="89" fillId="27" borderId="34" xfId="3" applyFont="1" applyFill="1" applyBorder="1" applyAlignment="1">
      <alignment horizontal="center" vertical="center"/>
    </xf>
    <xf numFmtId="14" fontId="96" fillId="0" borderId="35" xfId="3" applyNumberFormat="1" applyFont="1" applyBorder="1" applyAlignment="1" applyProtection="1">
      <alignment horizontal="center" vertical="center"/>
      <protection locked="0"/>
    </xf>
    <xf numFmtId="0" fontId="89" fillId="23" borderId="307" xfId="3" applyFont="1" applyFill="1" applyBorder="1" applyAlignment="1">
      <alignment horizontal="center" vertical="center"/>
    </xf>
    <xf numFmtId="0" fontId="82" fillId="23" borderId="36" xfId="3" applyFont="1" applyFill="1" applyBorder="1" applyAlignment="1">
      <alignment horizontal="center"/>
    </xf>
    <xf numFmtId="0" fontId="67" fillId="23" borderId="70" xfId="3" applyFont="1" applyFill="1" applyBorder="1" applyAlignment="1">
      <alignment horizontal="center" vertical="center"/>
    </xf>
    <xf numFmtId="0" fontId="67" fillId="23" borderId="173" xfId="3" applyFont="1" applyFill="1" applyBorder="1" applyAlignment="1">
      <alignment horizontal="center" vertical="center"/>
    </xf>
    <xf numFmtId="0" fontId="67" fillId="23" borderId="68" xfId="3" applyFont="1" applyFill="1" applyBorder="1" applyAlignment="1">
      <alignment horizontal="center" vertical="center"/>
    </xf>
    <xf numFmtId="0" fontId="82" fillId="23" borderId="69" xfId="3" applyFont="1" applyFill="1" applyBorder="1" applyAlignment="1">
      <alignment horizontal="left" vertical="center"/>
    </xf>
    <xf numFmtId="0" fontId="89" fillId="27" borderId="292" xfId="3" applyFont="1" applyFill="1" applyBorder="1" applyAlignment="1">
      <alignment horizontal="right" vertical="center"/>
    </xf>
    <xf numFmtId="49" fontId="65" fillId="0" borderId="291" xfId="3" applyNumberFormat="1" applyFont="1" applyBorder="1" applyAlignment="1">
      <alignment horizontal="center" vertical="center"/>
    </xf>
    <xf numFmtId="45" fontId="65" fillId="0" borderId="0" xfId="3" applyNumberFormat="1" applyFont="1" applyAlignment="1">
      <alignment vertical="center"/>
    </xf>
    <xf numFmtId="0" fontId="65" fillId="0" borderId="294" xfId="3" applyFont="1" applyBorder="1" applyAlignment="1">
      <alignment horizontal="center"/>
    </xf>
    <xf numFmtId="0" fontId="65" fillId="0" borderId="298" xfId="3" applyFont="1" applyBorder="1" applyAlignment="1">
      <alignment horizontal="center"/>
    </xf>
    <xf numFmtId="0" fontId="65" fillId="0" borderId="302" xfId="3" applyFont="1" applyBorder="1" applyAlignment="1">
      <alignment horizontal="center"/>
    </xf>
    <xf numFmtId="0" fontId="1" fillId="33" borderId="8" xfId="3" applyFont="1" applyFill="1" applyBorder="1" applyAlignment="1">
      <alignment wrapText="1"/>
    </xf>
    <xf numFmtId="0" fontId="1" fillId="33" borderId="17" xfId="3" applyFont="1" applyFill="1" applyBorder="1" applyAlignment="1">
      <alignment wrapText="1"/>
    </xf>
    <xf numFmtId="16" fontId="86" fillId="49" borderId="283" xfId="3" applyNumberFormat="1" applyFont="1" applyFill="1" applyBorder="1" applyAlignment="1" applyProtection="1">
      <alignment horizontal="center" vertical="center" wrapText="1"/>
      <protection locked="0"/>
    </xf>
    <xf numFmtId="0" fontId="84" fillId="47" borderId="286" xfId="3" applyFont="1" applyFill="1" applyBorder="1" applyAlignment="1">
      <alignment vertical="center"/>
    </xf>
    <xf numFmtId="0" fontId="84" fillId="48" borderId="289" xfId="3" applyFont="1" applyFill="1" applyBorder="1" applyAlignment="1">
      <alignment vertical="center"/>
    </xf>
    <xf numFmtId="0" fontId="88" fillId="27" borderId="290" xfId="3" applyFont="1" applyFill="1" applyBorder="1" applyAlignment="1"/>
    <xf numFmtId="0" fontId="88" fillId="27" borderId="288" xfId="3" applyFont="1" applyFill="1" applyBorder="1" applyAlignment="1"/>
    <xf numFmtId="0" fontId="88" fillId="50" borderId="275" xfId="3" applyFont="1" applyFill="1" applyBorder="1" applyAlignment="1"/>
    <xf numFmtId="0" fontId="88" fillId="50" borderId="288" xfId="3" applyFont="1" applyFill="1" applyBorder="1" applyAlignment="1"/>
    <xf numFmtId="0" fontId="88" fillId="50" borderId="287" xfId="3" applyFont="1" applyFill="1" applyBorder="1" applyAlignment="1"/>
    <xf numFmtId="0" fontId="23" fillId="0" borderId="0" xfId="1" applyBorder="1" applyAlignment="1" applyProtection="1"/>
    <xf numFmtId="0" fontId="23" fillId="0" borderId="0" xfId="1" applyBorder="1" applyAlignment="1" applyProtection="1">
      <alignment horizontal="center"/>
    </xf>
    <xf numFmtId="0" fontId="23" fillId="0" borderId="0" xfId="2" applyBorder="1" applyAlignment="1" applyProtection="1">
      <alignment horizontal="left"/>
    </xf>
    <xf numFmtId="0" fontId="0" fillId="0" borderId="0" xfId="0" applyBorder="1" applyAlignment="1">
      <alignment horizontal="center"/>
    </xf>
    <xf numFmtId="0" fontId="23" fillId="0" borderId="0" xfId="1" applyBorder="1" applyAlignment="1" applyProtection="1">
      <alignment horizontal="left"/>
    </xf>
    <xf numFmtId="0" fontId="83" fillId="23" borderId="303" xfId="3" applyFont="1" applyFill="1" applyBorder="1" applyAlignment="1">
      <alignment horizontal="left"/>
    </xf>
    <xf numFmtId="0" fontId="88" fillId="23" borderId="304" xfId="3" applyFont="1" applyFill="1" applyBorder="1" applyAlignment="1">
      <alignment horizontal="left"/>
    </xf>
    <xf numFmtId="0" fontId="88" fillId="23" borderId="305" xfId="3" applyFont="1" applyFill="1" applyBorder="1" applyAlignment="1">
      <alignment horizontal="left"/>
    </xf>
    <xf numFmtId="0" fontId="90" fillId="0" borderId="289" xfId="3" applyFont="1" applyBorder="1" applyAlignment="1" applyProtection="1">
      <alignment horizontal="center" vertical="center"/>
      <protection locked="0"/>
    </xf>
    <xf numFmtId="0" fontId="88" fillId="0" borderId="290" xfId="3" applyFont="1" applyBorder="1" applyProtection="1">
      <protection locked="0"/>
    </xf>
    <xf numFmtId="0" fontId="88" fillId="0" borderId="288" xfId="3" applyFont="1" applyBorder="1" applyProtection="1">
      <protection locked="0"/>
    </xf>
    <xf numFmtId="0" fontId="83" fillId="23" borderId="299" xfId="3" applyFont="1" applyFill="1" applyBorder="1" applyAlignment="1">
      <alignment horizontal="left"/>
    </xf>
    <xf numFmtId="0" fontId="88" fillId="23" borderId="300" xfId="3" applyFont="1" applyFill="1" applyBorder="1" applyAlignment="1">
      <alignment horizontal="left"/>
    </xf>
    <xf numFmtId="0" fontId="88" fillId="23" borderId="301" xfId="3" applyFont="1" applyFill="1" applyBorder="1" applyAlignment="1">
      <alignment horizontal="left"/>
    </xf>
    <xf numFmtId="0" fontId="82" fillId="23" borderId="69" xfId="3" applyFont="1" applyFill="1" applyBorder="1" applyAlignment="1">
      <alignment horizontal="left" vertical="center"/>
    </xf>
    <xf numFmtId="0" fontId="82" fillId="23" borderId="173" xfId="3" applyFont="1" applyFill="1" applyBorder="1" applyAlignment="1">
      <alignment horizontal="left" vertical="center"/>
    </xf>
    <xf numFmtId="0" fontId="82" fillId="23" borderId="217" xfId="3" applyFont="1" applyFill="1" applyBorder="1" applyAlignment="1">
      <alignment horizontal="left" vertical="center"/>
    </xf>
    <xf numFmtId="0" fontId="82" fillId="23" borderId="15" xfId="3" applyFont="1" applyFill="1" applyBorder="1" applyAlignment="1">
      <alignment horizontal="left" vertical="center"/>
    </xf>
    <xf numFmtId="0" fontId="83" fillId="23" borderId="295" xfId="3" applyFont="1" applyFill="1" applyBorder="1" applyAlignment="1">
      <alignment horizontal="left"/>
    </xf>
    <xf numFmtId="0" fontId="88" fillId="23" borderId="296" xfId="3" applyFont="1" applyFill="1" applyBorder="1" applyAlignment="1">
      <alignment horizontal="left"/>
    </xf>
    <xf numFmtId="0" fontId="88" fillId="23" borderId="297" xfId="3" applyFont="1" applyFill="1" applyBorder="1" applyAlignment="1">
      <alignment horizontal="left"/>
    </xf>
    <xf numFmtId="21" fontId="90" fillId="0" borderId="289" xfId="3" applyNumberFormat="1" applyFont="1" applyBorder="1" applyAlignment="1" applyProtection="1">
      <alignment horizontal="center" vertical="center"/>
      <protection locked="0"/>
    </xf>
    <xf numFmtId="0" fontId="87" fillId="0" borderId="253" xfId="3" applyFont="1" applyBorder="1" applyAlignment="1">
      <alignment horizontal="left" wrapText="1"/>
    </xf>
    <xf numFmtId="0" fontId="87" fillId="0" borderId="0" xfId="3" applyFont="1" applyBorder="1" applyAlignment="1">
      <alignment horizontal="left" wrapText="1"/>
    </xf>
    <xf numFmtId="0" fontId="79" fillId="36" borderId="252" xfId="3" applyFont="1" applyFill="1" applyBorder="1" applyAlignment="1">
      <alignment horizontal="center" vertical="center" wrapText="1"/>
    </xf>
    <xf numFmtId="0" fontId="79" fillId="36" borderId="109" xfId="3" applyFont="1" applyFill="1" applyBorder="1" applyAlignment="1">
      <alignment horizontal="center" vertical="center" wrapText="1"/>
    </xf>
    <xf numFmtId="0" fontId="70" fillId="0" borderId="69" xfId="3" applyFont="1" applyBorder="1" applyAlignment="1">
      <alignment horizontal="left" vertical="top" wrapText="1"/>
    </xf>
    <xf numFmtId="0" fontId="70" fillId="0" borderId="70" xfId="3" applyFont="1" applyBorder="1" applyAlignment="1">
      <alignment horizontal="left" vertical="top" wrapText="1"/>
    </xf>
    <xf numFmtId="0" fontId="70" fillId="0" borderId="173" xfId="3" applyFont="1" applyBorder="1" applyAlignment="1">
      <alignment horizontal="left" vertical="top" wrapText="1"/>
    </xf>
    <xf numFmtId="0" fontId="76" fillId="23" borderId="69" xfId="3" applyFont="1" applyFill="1" applyBorder="1" applyAlignment="1">
      <alignment horizontal="center" vertical="center"/>
    </xf>
    <xf numFmtId="0" fontId="76" fillId="23" borderId="70" xfId="3" applyFont="1" applyFill="1" applyBorder="1" applyAlignment="1">
      <alignment horizontal="center" vertical="center"/>
    </xf>
    <xf numFmtId="0" fontId="76" fillId="23" borderId="173" xfId="3" applyFont="1" applyFill="1" applyBorder="1" applyAlignment="1">
      <alignment horizontal="center" vertical="center"/>
    </xf>
    <xf numFmtId="0" fontId="79" fillId="27" borderId="69" xfId="3" applyFont="1" applyFill="1" applyBorder="1" applyAlignment="1">
      <alignment horizontal="center" vertical="center" wrapText="1"/>
    </xf>
    <xf numFmtId="0" fontId="83" fillId="27" borderId="284" xfId="3" applyFont="1" applyFill="1" applyBorder="1" applyAlignment="1">
      <alignment horizontal="center" vertical="center"/>
    </xf>
    <xf numFmtId="0" fontId="84" fillId="43" borderId="74" xfId="3" applyFont="1" applyFill="1" applyBorder="1" applyAlignment="1">
      <alignment horizontal="center" vertical="center" wrapText="1"/>
    </xf>
    <xf numFmtId="0" fontId="83" fillId="43" borderId="252" xfId="3" applyFont="1" applyFill="1" applyBorder="1" applyAlignment="1">
      <alignment horizontal="center" vertical="center" wrapText="1"/>
    </xf>
    <xf numFmtId="0" fontId="82" fillId="43" borderId="252" xfId="3" applyFont="1" applyFill="1" applyBorder="1" applyAlignment="1">
      <alignment horizontal="center" vertical="center" wrapText="1"/>
    </xf>
    <xf numFmtId="0" fontId="81" fillId="43" borderId="109" xfId="3" applyFont="1" applyFill="1" applyBorder="1" applyAlignment="1">
      <alignment horizontal="center" vertical="center" wrapText="1"/>
    </xf>
    <xf numFmtId="0" fontId="79" fillId="41" borderId="74" xfId="3" applyFont="1" applyFill="1" applyBorder="1" applyAlignment="1">
      <alignment horizontal="center" vertical="center" wrapText="1"/>
    </xf>
    <xf numFmtId="0" fontId="79" fillId="41" borderId="252" xfId="3" applyFont="1" applyFill="1" applyBorder="1" applyAlignment="1">
      <alignment horizontal="center" vertical="center" wrapText="1"/>
    </xf>
    <xf numFmtId="0" fontId="79" fillId="41" borderId="109" xfId="3" applyFont="1" applyFill="1" applyBorder="1" applyAlignment="1">
      <alignment horizontal="center" vertical="center" wrapText="1"/>
    </xf>
    <xf numFmtId="0" fontId="79" fillId="40" borderId="74" xfId="3" applyFont="1" applyFill="1" applyBorder="1" applyAlignment="1">
      <alignment horizontal="center" vertical="center" wrapText="1"/>
    </xf>
    <xf numFmtId="0" fontId="79" fillId="40" borderId="252" xfId="3" applyFont="1" applyFill="1" applyBorder="1" applyAlignment="1">
      <alignment horizontal="center" vertical="center" wrapText="1"/>
    </xf>
    <xf numFmtId="0" fontId="79" fillId="40" borderId="277" xfId="3" applyFont="1" applyFill="1" applyBorder="1" applyAlignment="1">
      <alignment horizontal="center" vertical="center" wrapText="1"/>
    </xf>
    <xf numFmtId="0" fontId="5" fillId="3" borderId="4" xfId="0" applyFont="1" applyFill="1" applyBorder="1" applyAlignment="1" applyProtection="1">
      <alignment horizontal="center"/>
    </xf>
    <xf numFmtId="0" fontId="5" fillId="3" borderId="0" xfId="0" applyFont="1" applyFill="1" applyBorder="1" applyAlignment="1" applyProtection="1">
      <alignment horizontal="center"/>
    </xf>
    <xf numFmtId="0" fontId="7" fillId="23" borderId="11" xfId="0" applyFont="1" applyFill="1" applyBorder="1" applyAlignment="1" applyProtection="1">
      <alignment horizontal="center"/>
    </xf>
    <xf numFmtId="0" fontId="7" fillId="23" borderId="12" xfId="0" applyFont="1" applyFill="1" applyBorder="1" applyAlignment="1" applyProtection="1">
      <alignment horizontal="center"/>
    </xf>
    <xf numFmtId="0" fontId="7" fillId="23" borderId="13" xfId="0" applyFont="1" applyFill="1" applyBorder="1" applyAlignment="1" applyProtection="1">
      <alignment horizontal="center"/>
    </xf>
    <xf numFmtId="0" fontId="2" fillId="3" borderId="0" xfId="0" applyFont="1" applyFill="1" applyBorder="1" applyAlignment="1" applyProtection="1">
      <alignment horizontal="center"/>
    </xf>
    <xf numFmtId="0" fontId="6" fillId="23" borderId="19" xfId="0" applyFont="1" applyFill="1" applyBorder="1" applyAlignment="1" applyProtection="1">
      <alignment horizontal="center" vertical="center"/>
    </xf>
    <xf numFmtId="0" fontId="6" fillId="23" borderId="20" xfId="0" applyFont="1" applyFill="1" applyBorder="1" applyAlignment="1" applyProtection="1">
      <alignment horizontal="center" vertical="center"/>
    </xf>
    <xf numFmtId="0" fontId="1" fillId="0" borderId="22" xfId="0" applyFont="1" applyFill="1" applyBorder="1" applyAlignment="1" applyProtection="1">
      <alignment horizontal="center"/>
    </xf>
    <xf numFmtId="0" fontId="0" fillId="0" borderId="23" xfId="0" applyFill="1" applyBorder="1" applyAlignment="1" applyProtection="1">
      <alignment horizontal="center"/>
    </xf>
    <xf numFmtId="0" fontId="0" fillId="0" borderId="24" xfId="0" applyFill="1" applyBorder="1" applyAlignment="1" applyProtection="1">
      <alignment horizontal="center"/>
    </xf>
    <xf numFmtId="0" fontId="9" fillId="0" borderId="25" xfId="0" applyFont="1" applyBorder="1" applyAlignment="1" applyProtection="1">
      <alignment horizontal="center" vertical="top"/>
    </xf>
    <xf numFmtId="0" fontId="9" fillId="0" borderId="26" xfId="0" applyFont="1" applyBorder="1" applyAlignment="1" applyProtection="1">
      <alignment horizontal="center" vertical="top"/>
    </xf>
    <xf numFmtId="0" fontId="6" fillId="24" borderId="69" xfId="0" applyFont="1" applyFill="1" applyBorder="1" applyAlignment="1" applyProtection="1">
      <alignment horizontal="center"/>
    </xf>
    <xf numFmtId="0" fontId="6" fillId="24" borderId="173" xfId="0" applyFont="1" applyFill="1" applyBorder="1" applyAlignment="1" applyProtection="1">
      <alignment horizontal="center"/>
    </xf>
    <xf numFmtId="0" fontId="13" fillId="4" borderId="12" xfId="0" applyFont="1" applyFill="1" applyBorder="1" applyAlignment="1" applyProtection="1">
      <alignment horizontal="center"/>
    </xf>
    <xf numFmtId="0" fontId="6" fillId="23" borderId="29" xfId="0" applyFont="1" applyFill="1" applyBorder="1" applyAlignment="1" applyProtection="1">
      <alignment horizontal="center" vertical="center"/>
    </xf>
    <xf numFmtId="0" fontId="6" fillId="23" borderId="30" xfId="0" applyFont="1" applyFill="1" applyBorder="1" applyAlignment="1" applyProtection="1">
      <alignment horizontal="center" vertical="center"/>
    </xf>
    <xf numFmtId="221" fontId="2" fillId="2" borderId="27" xfId="0" applyNumberFormat="1" applyFont="1" applyFill="1" applyBorder="1" applyAlignment="1" applyProtection="1">
      <alignment horizontal="center"/>
    </xf>
    <xf numFmtId="221" fontId="2" fillId="2" borderId="26" xfId="0" applyNumberFormat="1" applyFont="1" applyFill="1" applyBorder="1" applyAlignment="1" applyProtection="1">
      <alignment horizontal="center"/>
    </xf>
    <xf numFmtId="0" fontId="6" fillId="23" borderId="83" xfId="0" applyFont="1" applyFill="1" applyBorder="1" applyAlignment="1" applyProtection="1">
      <alignment horizontal="center"/>
    </xf>
    <xf numFmtId="0" fontId="6" fillId="23" borderId="257" xfId="0" applyFont="1" applyFill="1" applyBorder="1" applyAlignment="1" applyProtection="1">
      <alignment horizontal="center"/>
    </xf>
    <xf numFmtId="0" fontId="2" fillId="2" borderId="45" xfId="0" applyFont="1" applyFill="1" applyBorder="1" applyAlignment="1" applyProtection="1">
      <alignment horizontal="center"/>
    </xf>
    <xf numFmtId="0" fontId="2" fillId="2" borderId="5" xfId="0" applyFont="1" applyFill="1" applyBorder="1" applyAlignment="1" applyProtection="1">
      <alignment horizontal="center"/>
    </xf>
    <xf numFmtId="0" fontId="2" fillId="2" borderId="46" xfId="0" applyFont="1" applyFill="1" applyBorder="1" applyAlignment="1" applyProtection="1">
      <alignment horizontal="center"/>
    </xf>
    <xf numFmtId="0" fontId="7" fillId="2" borderId="51" xfId="0" applyFont="1" applyFill="1" applyBorder="1" applyAlignment="1" applyProtection="1">
      <alignment horizontal="right"/>
    </xf>
    <xf numFmtId="0" fontId="7" fillId="2" borderId="52" xfId="0" applyFont="1" applyFill="1" applyBorder="1" applyAlignment="1" applyProtection="1">
      <alignment horizontal="right"/>
    </xf>
    <xf numFmtId="222" fontId="6" fillId="6" borderId="11" xfId="0" applyNumberFormat="1" applyFont="1" applyFill="1" applyBorder="1" applyAlignment="1" applyProtection="1">
      <alignment horizontal="center"/>
    </xf>
    <xf numFmtId="222" fontId="6" fillId="6" borderId="28" xfId="0" applyNumberFormat="1" applyFont="1" applyFill="1" applyBorder="1" applyAlignment="1" applyProtection="1">
      <alignment horizontal="center"/>
    </xf>
    <xf numFmtId="169" fontId="6" fillId="6" borderId="53" xfId="0" applyNumberFormat="1" applyFont="1" applyFill="1" applyBorder="1" applyAlignment="1" applyProtection="1">
      <alignment horizontal="center"/>
    </xf>
    <xf numFmtId="169" fontId="6" fillId="6" borderId="54" xfId="0" applyNumberFormat="1" applyFont="1" applyFill="1" applyBorder="1" applyAlignment="1" applyProtection="1">
      <alignment horizontal="center"/>
    </xf>
    <xf numFmtId="0" fontId="6" fillId="6" borderId="11" xfId="0" applyNumberFormat="1" applyFont="1" applyFill="1" applyBorder="1" applyAlignment="1" applyProtection="1">
      <alignment horizontal="right"/>
    </xf>
    <xf numFmtId="0" fontId="6" fillId="6" borderId="12" xfId="0" applyNumberFormat="1" applyFont="1" applyFill="1" applyBorder="1" applyAlignment="1" applyProtection="1">
      <alignment horizontal="right"/>
    </xf>
    <xf numFmtId="0" fontId="1" fillId="0" borderId="18" xfId="0" applyFont="1" applyBorder="1" applyAlignment="1" applyProtection="1">
      <alignment horizontal="center"/>
    </xf>
    <xf numFmtId="0" fontId="9" fillId="2" borderId="59" xfId="0" applyFont="1" applyFill="1" applyBorder="1" applyAlignment="1" applyProtection="1">
      <alignment horizontal="center"/>
    </xf>
    <xf numFmtId="0" fontId="9" fillId="2" borderId="60" xfId="0" applyFont="1" applyFill="1" applyBorder="1" applyAlignment="1" applyProtection="1">
      <alignment horizontal="center"/>
    </xf>
    <xf numFmtId="171" fontId="6" fillId="6" borderId="19" xfId="0" applyNumberFormat="1" applyFont="1" applyFill="1" applyBorder="1" applyAlignment="1" applyProtection="1">
      <alignment horizontal="center" vertical="center"/>
    </xf>
    <xf numFmtId="171" fontId="6" fillId="6" borderId="52" xfId="0" applyNumberFormat="1" applyFont="1" applyFill="1" applyBorder="1" applyAlignment="1" applyProtection="1">
      <alignment horizontal="center" vertical="center"/>
    </xf>
    <xf numFmtId="0" fontId="6" fillId="6" borderId="61" xfId="0" applyNumberFormat="1" applyFont="1" applyFill="1" applyBorder="1" applyAlignment="1" applyProtection="1">
      <alignment horizontal="right"/>
    </xf>
    <xf numFmtId="0" fontId="6" fillId="6" borderId="62" xfId="0" applyNumberFormat="1" applyFont="1" applyFill="1" applyBorder="1" applyAlignment="1" applyProtection="1">
      <alignment horizontal="right"/>
    </xf>
    <xf numFmtId="171" fontId="6" fillId="7" borderId="70" xfId="0" applyNumberFormat="1" applyFont="1" applyFill="1" applyBorder="1" applyAlignment="1" applyProtection="1">
      <alignment horizontal="right" vertical="center"/>
    </xf>
    <xf numFmtId="1" fontId="13" fillId="0" borderId="89" xfId="0" applyNumberFormat="1" applyFont="1" applyFill="1" applyBorder="1" applyAlignment="1" applyProtection="1">
      <alignment horizontal="center"/>
    </xf>
    <xf numFmtId="0" fontId="24" fillId="5" borderId="69" xfId="1" applyNumberFormat="1" applyFont="1" applyFill="1" applyBorder="1" applyAlignment="1" applyProtection="1">
      <alignment horizontal="center"/>
    </xf>
    <xf numFmtId="0" fontId="24" fillId="5" borderId="173" xfId="1" applyNumberFormat="1" applyFont="1" applyFill="1" applyBorder="1" applyAlignment="1" applyProtection="1">
      <alignment horizontal="center"/>
    </xf>
    <xf numFmtId="0" fontId="17" fillId="17" borderId="90" xfId="0" applyFont="1" applyFill="1" applyBorder="1" applyAlignment="1" applyProtection="1">
      <alignment horizontal="center"/>
    </xf>
    <xf numFmtId="0" fontId="17" fillId="17" borderId="5" xfId="0" applyFont="1" applyFill="1" applyBorder="1" applyAlignment="1" applyProtection="1">
      <alignment horizontal="center"/>
    </xf>
    <xf numFmtId="0" fontId="17" fillId="17" borderId="6" xfId="0" applyFont="1" applyFill="1" applyBorder="1" applyAlignment="1" applyProtection="1">
      <alignment horizontal="center"/>
    </xf>
    <xf numFmtId="0" fontId="6" fillId="8" borderId="135" xfId="0" applyFont="1" applyFill="1" applyBorder="1" applyAlignment="1" applyProtection="1">
      <alignment horizontal="center"/>
    </xf>
    <xf numFmtId="0" fontId="6" fillId="8" borderId="136" xfId="0" applyFont="1" applyFill="1" applyBorder="1" applyAlignment="1" applyProtection="1">
      <alignment horizontal="center"/>
    </xf>
    <xf numFmtId="0" fontId="6" fillId="8" borderId="154" xfId="0" applyFont="1" applyFill="1" applyBorder="1" applyAlignment="1" applyProtection="1">
      <alignment horizontal="center"/>
    </xf>
    <xf numFmtId="0" fontId="6" fillId="8" borderId="146" xfId="0" applyFont="1" applyFill="1" applyBorder="1" applyAlignment="1" applyProtection="1">
      <alignment horizontal="center"/>
    </xf>
    <xf numFmtId="0" fontId="6" fillId="8" borderId="147" xfId="0" applyFont="1" applyFill="1" applyBorder="1" applyAlignment="1" applyProtection="1">
      <alignment horizontal="center"/>
    </xf>
    <xf numFmtId="0" fontId="6" fillId="8" borderId="160" xfId="0" applyFont="1" applyFill="1" applyBorder="1" applyAlignment="1" applyProtection="1">
      <alignment horizontal="center"/>
    </xf>
    <xf numFmtId="0" fontId="0" fillId="2" borderId="81" xfId="0" applyFill="1" applyBorder="1" applyAlignment="1" applyProtection="1">
      <alignment horizontal="center"/>
    </xf>
    <xf numFmtId="0" fontId="0" fillId="2" borderId="82" xfId="0" applyFill="1" applyBorder="1" applyAlignment="1" applyProtection="1">
      <alignment horizontal="center"/>
    </xf>
    <xf numFmtId="0" fontId="0" fillId="2" borderId="161" xfId="0" applyFill="1" applyBorder="1" applyAlignment="1" applyProtection="1">
      <alignment horizontal="center"/>
    </xf>
    <xf numFmtId="0" fontId="1" fillId="0" borderId="0" xfId="0" applyFont="1" applyBorder="1" applyAlignment="1" applyProtection="1">
      <alignment horizontal="center"/>
    </xf>
    <xf numFmtId="0" fontId="17" fillId="17" borderId="123" xfId="0" applyFont="1" applyFill="1" applyBorder="1" applyAlignment="1" applyProtection="1">
      <alignment horizontal="center"/>
    </xf>
    <xf numFmtId="0" fontId="17" fillId="17" borderId="124" xfId="0" applyFont="1" applyFill="1" applyBorder="1" applyAlignment="1" applyProtection="1">
      <alignment horizontal="center"/>
    </xf>
    <xf numFmtId="0" fontId="13" fillId="13" borderId="174" xfId="0" applyFont="1" applyFill="1" applyBorder="1" applyAlignment="1" applyProtection="1">
      <alignment horizontal="center"/>
    </xf>
    <xf numFmtId="0" fontId="13" fillId="13" borderId="175" xfId="0" applyFont="1" applyFill="1" applyBorder="1" applyAlignment="1" applyProtection="1">
      <alignment horizontal="center"/>
    </xf>
    <xf numFmtId="0" fontId="13" fillId="13" borderId="179" xfId="0" applyFont="1" applyFill="1" applyBorder="1" applyAlignment="1" applyProtection="1">
      <alignment horizontal="center"/>
    </xf>
    <xf numFmtId="0" fontId="13" fillId="13" borderId="180" xfId="0" applyFont="1" applyFill="1" applyBorder="1" applyAlignment="1" applyProtection="1">
      <alignment horizontal="center"/>
    </xf>
    <xf numFmtId="0" fontId="2" fillId="2" borderId="168" xfId="0" applyFont="1" applyFill="1" applyBorder="1" applyAlignment="1" applyProtection="1">
      <alignment horizontal="center"/>
    </xf>
    <xf numFmtId="0" fontId="2" fillId="2" borderId="70" xfId="0" applyFont="1" applyFill="1" applyBorder="1" applyAlignment="1" applyProtection="1">
      <alignment horizontal="center"/>
    </xf>
    <xf numFmtId="0" fontId="2" fillId="2" borderId="186" xfId="0" applyFont="1" applyFill="1" applyBorder="1" applyAlignment="1" applyProtection="1">
      <alignment horizontal="center"/>
    </xf>
    <xf numFmtId="21" fontId="20" fillId="2" borderId="168" xfId="0" applyNumberFormat="1" applyFont="1" applyFill="1" applyBorder="1" applyAlignment="1" applyProtection="1">
      <alignment horizontal="center"/>
    </xf>
    <xf numFmtId="21" fontId="20" fillId="2" borderId="70" xfId="0" applyNumberFormat="1" applyFont="1" applyFill="1" applyBorder="1" applyAlignment="1" applyProtection="1">
      <alignment horizontal="center"/>
    </xf>
    <xf numFmtId="21" fontId="20" fillId="2" borderId="169" xfId="0" applyNumberFormat="1" applyFont="1" applyFill="1" applyBorder="1" applyAlignment="1" applyProtection="1">
      <alignment horizontal="center"/>
    </xf>
    <xf numFmtId="0" fontId="13" fillId="2" borderId="168" xfId="0" applyNumberFormat="1" applyFont="1" applyFill="1" applyBorder="1" applyAlignment="1" applyProtection="1">
      <alignment horizontal="center"/>
    </xf>
    <xf numFmtId="0" fontId="13" fillId="2" borderId="169" xfId="0" applyNumberFormat="1" applyFont="1" applyFill="1" applyBorder="1" applyAlignment="1" applyProtection="1">
      <alignment horizontal="center"/>
    </xf>
    <xf numFmtId="183" fontId="7" fillId="16" borderId="174" xfId="0" applyNumberFormat="1" applyFont="1" applyFill="1" applyBorder="1" applyAlignment="1" applyProtection="1">
      <alignment horizontal="center"/>
    </xf>
    <xf numFmtId="183" fontId="7" fillId="16" borderId="175" xfId="0" applyNumberFormat="1" applyFont="1" applyFill="1" applyBorder="1" applyAlignment="1" applyProtection="1">
      <alignment horizontal="center"/>
    </xf>
    <xf numFmtId="0" fontId="20" fillId="2" borderId="162" xfId="0" applyFont="1" applyFill="1" applyBorder="1" applyAlignment="1" applyProtection="1">
      <alignment horizontal="center"/>
    </xf>
    <xf numFmtId="0" fontId="20" fillId="2" borderId="163" xfId="0" applyFont="1" applyFill="1" applyBorder="1" applyAlignment="1" applyProtection="1">
      <alignment horizontal="center"/>
    </xf>
    <xf numFmtId="0" fontId="13" fillId="2" borderId="165" xfId="0" applyFont="1" applyFill="1" applyBorder="1" applyAlignment="1" applyProtection="1">
      <alignment horizontal="center"/>
    </xf>
    <xf numFmtId="0" fontId="13" fillId="2" borderId="166" xfId="0" applyFont="1" applyFill="1" applyBorder="1" applyAlignment="1" applyProtection="1">
      <alignment horizontal="center"/>
    </xf>
    <xf numFmtId="0" fontId="13" fillId="2" borderId="167" xfId="0" applyFont="1" applyFill="1" applyBorder="1" applyAlignment="1" applyProtection="1">
      <alignment horizontal="center"/>
    </xf>
    <xf numFmtId="0" fontId="13" fillId="2" borderId="43" xfId="0" applyFont="1" applyFill="1" applyBorder="1" applyAlignment="1" applyProtection="1">
      <alignment horizontal="center"/>
    </xf>
    <xf numFmtId="0" fontId="24" fillId="0" borderId="70" xfId="1" applyFont="1" applyBorder="1" applyAlignment="1" applyProtection="1">
      <alignment horizontal="center" vertical="center"/>
    </xf>
    <xf numFmtId="0" fontId="24" fillId="0" borderId="186" xfId="1" applyFont="1" applyBorder="1" applyAlignment="1" applyProtection="1">
      <alignment horizontal="center" vertical="center"/>
    </xf>
    <xf numFmtId="0" fontId="13" fillId="19" borderId="168" xfId="0" applyFont="1" applyFill="1" applyBorder="1" applyAlignment="1" applyProtection="1">
      <alignment horizontal="center"/>
    </xf>
    <xf numFmtId="0" fontId="13" fillId="19" borderId="169" xfId="0" applyFont="1" applyFill="1" applyBorder="1" applyAlignment="1" applyProtection="1">
      <alignment horizontal="center"/>
    </xf>
    <xf numFmtId="0" fontId="23" fillId="2" borderId="168" xfId="1" applyFill="1" applyBorder="1" applyAlignment="1" applyProtection="1">
      <alignment horizontal="right"/>
    </xf>
    <xf numFmtId="0" fontId="23" fillId="2" borderId="70" xfId="1" applyFill="1" applyBorder="1" applyAlignment="1" applyProtection="1">
      <alignment horizontal="right"/>
    </xf>
    <xf numFmtId="0" fontId="20" fillId="2" borderId="70" xfId="1" applyFont="1" applyFill="1" applyBorder="1" applyAlignment="1" applyProtection="1">
      <alignment horizontal="left"/>
    </xf>
    <xf numFmtId="0" fontId="20" fillId="2" borderId="169" xfId="1" applyFont="1" applyFill="1" applyBorder="1" applyAlignment="1" applyProtection="1">
      <alignment horizontal="left"/>
    </xf>
    <xf numFmtId="0" fontId="13" fillId="2" borderId="168" xfId="0" applyFont="1" applyFill="1" applyBorder="1" applyAlignment="1" applyProtection="1">
      <alignment horizontal="center"/>
    </xf>
    <xf numFmtId="0" fontId="13" fillId="2" borderId="70" xfId="0" applyFont="1" applyFill="1" applyBorder="1" applyAlignment="1" applyProtection="1">
      <alignment horizontal="center"/>
    </xf>
    <xf numFmtId="0" fontId="13" fillId="2" borderId="169" xfId="0" applyFont="1" applyFill="1" applyBorder="1" applyAlignment="1" applyProtection="1">
      <alignment horizontal="center"/>
    </xf>
    <xf numFmtId="0" fontId="13" fillId="10" borderId="174" xfId="0" applyFont="1" applyFill="1" applyBorder="1" applyAlignment="1" applyProtection="1">
      <alignment horizontal="center"/>
    </xf>
    <xf numFmtId="0" fontId="13" fillId="10" borderId="12" xfId="0" applyFont="1" applyFill="1" applyBorder="1" applyAlignment="1" applyProtection="1">
      <alignment horizontal="center"/>
    </xf>
    <xf numFmtId="0" fontId="13" fillId="10" borderId="175" xfId="0" applyFont="1" applyFill="1" applyBorder="1" applyAlignment="1" applyProtection="1">
      <alignment horizontal="center"/>
    </xf>
    <xf numFmtId="0" fontId="13" fillId="10" borderId="179" xfId="0" applyFont="1" applyFill="1" applyBorder="1" applyAlignment="1" applyProtection="1">
      <alignment horizontal="center"/>
    </xf>
    <xf numFmtId="0" fontId="13" fillId="10" borderId="62" xfId="0" applyFont="1" applyFill="1" applyBorder="1" applyAlignment="1" applyProtection="1">
      <alignment horizontal="center"/>
    </xf>
    <xf numFmtId="0" fontId="13" fillId="10" borderId="180" xfId="0" applyFont="1" applyFill="1" applyBorder="1" applyAlignment="1" applyProtection="1">
      <alignment horizontal="center"/>
    </xf>
    <xf numFmtId="0" fontId="6" fillId="2" borderId="168" xfId="0" applyFont="1" applyFill="1" applyBorder="1" applyAlignment="1" applyProtection="1">
      <alignment horizontal="center"/>
    </xf>
    <xf numFmtId="0" fontId="6" fillId="2" borderId="70" xfId="0" applyFont="1" applyFill="1" applyBorder="1" applyAlignment="1" applyProtection="1">
      <alignment horizontal="center"/>
    </xf>
    <xf numFmtId="184" fontId="25" fillId="15" borderId="171" xfId="0" applyNumberFormat="1" applyFont="1" applyFill="1" applyBorder="1" applyAlignment="1" applyProtection="1">
      <alignment horizontal="center"/>
    </xf>
    <xf numFmtId="184" fontId="25" fillId="15" borderId="24" xfId="0" applyNumberFormat="1" applyFont="1" applyFill="1" applyBorder="1" applyAlignment="1" applyProtection="1">
      <alignment horizontal="center"/>
    </xf>
    <xf numFmtId="185" fontId="7" fillId="13" borderId="258" xfId="0" applyNumberFormat="1" applyFont="1" applyFill="1" applyBorder="1" applyAlignment="1" applyProtection="1">
      <alignment horizontal="center"/>
    </xf>
    <xf numFmtId="185" fontId="7" fillId="13" borderId="40" xfId="0" applyNumberFormat="1" applyFont="1" applyFill="1" applyBorder="1" applyAlignment="1" applyProtection="1">
      <alignment horizontal="center"/>
    </xf>
    <xf numFmtId="186" fontId="7" fillId="16" borderId="165" xfId="0" applyNumberFormat="1" applyFont="1" applyFill="1" applyBorder="1" applyAlignment="1" applyProtection="1">
      <alignment horizontal="center"/>
    </xf>
    <xf numFmtId="186" fontId="7" fillId="16" borderId="259" xfId="0" applyNumberFormat="1" applyFont="1" applyFill="1" applyBorder="1" applyAlignment="1" applyProtection="1">
      <alignment horizontal="center"/>
    </xf>
    <xf numFmtId="187" fontId="7" fillId="15" borderId="171" xfId="0" applyNumberFormat="1" applyFont="1" applyFill="1" applyBorder="1" applyAlignment="1" applyProtection="1">
      <alignment horizontal="center"/>
    </xf>
    <xf numFmtId="187" fontId="7" fillId="15" borderId="24" xfId="0" applyNumberFormat="1" applyFont="1" applyFill="1" applyBorder="1" applyAlignment="1" applyProtection="1">
      <alignment horizontal="center"/>
    </xf>
    <xf numFmtId="188" fontId="7" fillId="13" borderId="179" xfId="0" applyNumberFormat="1" applyFont="1" applyFill="1" applyBorder="1" applyAlignment="1" applyProtection="1">
      <alignment horizontal="center"/>
    </xf>
    <xf numFmtId="188" fontId="7" fillId="13" borderId="180" xfId="0" applyNumberFormat="1" applyFont="1" applyFill="1" applyBorder="1" applyAlignment="1" applyProtection="1">
      <alignment horizontal="center"/>
    </xf>
    <xf numFmtId="0" fontId="26" fillId="2" borderId="168" xfId="0" applyFont="1" applyFill="1" applyBorder="1" applyAlignment="1" applyProtection="1">
      <alignment horizontal="center"/>
    </xf>
    <xf numFmtId="0" fontId="26" fillId="2" borderId="70" xfId="0" applyFont="1" applyFill="1" applyBorder="1" applyAlignment="1" applyProtection="1">
      <alignment horizontal="center"/>
    </xf>
    <xf numFmtId="0" fontId="26" fillId="2" borderId="186" xfId="0" applyFont="1" applyFill="1" applyBorder="1" applyAlignment="1" applyProtection="1">
      <alignment horizontal="center"/>
    </xf>
    <xf numFmtId="0" fontId="7" fillId="2" borderId="201" xfId="0" applyFont="1" applyFill="1" applyBorder="1" applyAlignment="1" applyProtection="1">
      <alignment horizontal="center"/>
    </xf>
    <xf numFmtId="0" fontId="7" fillId="2" borderId="202" xfId="0" applyFont="1" applyFill="1" applyBorder="1" applyAlignment="1" applyProtection="1">
      <alignment horizontal="center"/>
    </xf>
    <xf numFmtId="1" fontId="35" fillId="2" borderId="203" xfId="1" applyNumberFormat="1" applyFont="1" applyFill="1" applyBorder="1" applyAlignment="1" applyProtection="1">
      <alignment horizontal="center"/>
      <protection locked="0"/>
    </xf>
    <xf numFmtId="1" fontId="35" fillId="2" borderId="169" xfId="1" applyNumberFormat="1" applyFont="1" applyFill="1" applyBorder="1" applyAlignment="1" applyProtection="1">
      <alignment horizontal="center"/>
      <protection locked="0"/>
    </xf>
    <xf numFmtId="0" fontId="13" fillId="2" borderId="90" xfId="0" applyFont="1" applyFill="1" applyBorder="1" applyAlignment="1" applyProtection="1">
      <alignment horizontal="center"/>
    </xf>
    <xf numFmtId="0" fontId="13" fillId="2" borderId="5" xfId="0" applyFont="1" applyFill="1" applyBorder="1" applyAlignment="1" applyProtection="1">
      <alignment horizontal="center"/>
    </xf>
    <xf numFmtId="0" fontId="13" fillId="2" borderId="6" xfId="0" applyFont="1" applyFill="1" applyBorder="1" applyAlignment="1" applyProtection="1">
      <alignment horizontal="center"/>
    </xf>
    <xf numFmtId="0" fontId="6" fillId="0" borderId="168" xfId="0" applyFont="1" applyBorder="1" applyAlignment="1" applyProtection="1">
      <alignment horizontal="center"/>
    </xf>
    <xf numFmtId="0" fontId="6" fillId="0" borderId="70" xfId="0" applyFont="1" applyBorder="1" applyAlignment="1" applyProtection="1">
      <alignment horizontal="center"/>
    </xf>
    <xf numFmtId="0" fontId="6" fillId="0" borderId="186" xfId="0" applyFont="1" applyBorder="1" applyAlignment="1" applyProtection="1">
      <alignment horizontal="center"/>
    </xf>
    <xf numFmtId="0" fontId="27" fillId="2" borderId="168" xfId="1" applyFont="1" applyFill="1" applyBorder="1" applyAlignment="1" applyProtection="1">
      <alignment horizontal="right"/>
    </xf>
    <xf numFmtId="0" fontId="27" fillId="2" borderId="70" xfId="1" applyFont="1" applyFill="1" applyBorder="1" applyAlignment="1" applyProtection="1">
      <alignment horizontal="right"/>
    </xf>
    <xf numFmtId="0" fontId="7" fillId="2" borderId="25" xfId="0" applyFont="1" applyFill="1" applyBorder="1" applyAlignment="1" applyProtection="1">
      <alignment horizontal="center"/>
    </xf>
    <xf numFmtId="0" fontId="7" fillId="2" borderId="200" xfId="0" applyFont="1" applyFill="1" applyBorder="1" applyAlignment="1" applyProtection="1">
      <alignment horizontal="center"/>
    </xf>
    <xf numFmtId="0" fontId="32" fillId="2" borderId="27" xfId="0" applyFont="1" applyFill="1" applyBorder="1" applyAlignment="1" applyProtection="1">
      <alignment horizontal="center"/>
    </xf>
    <xf numFmtId="0" fontId="32" fillId="2" borderId="191" xfId="0" applyFont="1" applyFill="1" applyBorder="1" applyAlignment="1" applyProtection="1">
      <alignment horizontal="center"/>
    </xf>
    <xf numFmtId="0" fontId="6" fillId="8" borderId="7" xfId="0" applyFont="1" applyFill="1" applyBorder="1" applyAlignment="1" applyProtection="1">
      <alignment horizontal="center"/>
    </xf>
    <xf numFmtId="0" fontId="6" fillId="8" borderId="134" xfId="0" applyFont="1" applyFill="1" applyBorder="1" applyAlignment="1" applyProtection="1">
      <alignment horizontal="center"/>
    </xf>
    <xf numFmtId="49" fontId="7" fillId="8" borderId="135" xfId="0" applyNumberFormat="1" applyFont="1" applyFill="1" applyBorder="1" applyAlignment="1" applyProtection="1">
      <alignment horizontal="center"/>
    </xf>
    <xf numFmtId="0" fontId="7" fillId="8" borderId="136" xfId="0" applyNumberFormat="1" applyFont="1" applyFill="1" applyBorder="1" applyAlignment="1" applyProtection="1">
      <alignment horizontal="center"/>
    </xf>
    <xf numFmtId="0" fontId="6" fillId="8" borderId="51" xfId="0" applyFont="1" applyFill="1" applyBorder="1" applyAlignment="1" applyProtection="1">
      <alignment horizontal="center"/>
    </xf>
    <xf numFmtId="0" fontId="6" fillId="8" borderId="20" xfId="0" applyFont="1" applyFill="1" applyBorder="1" applyAlignment="1" applyProtection="1">
      <alignment horizontal="center"/>
    </xf>
    <xf numFmtId="0" fontId="6" fillId="8" borderId="205" xfId="0" applyFont="1" applyFill="1" applyBorder="1" applyAlignment="1" applyProtection="1">
      <alignment horizontal="center"/>
    </xf>
    <xf numFmtId="0" fontId="6" fillId="8" borderId="142" xfId="0" applyFont="1" applyFill="1" applyBorder="1" applyAlignment="1" applyProtection="1">
      <alignment horizontal="center"/>
    </xf>
    <xf numFmtId="0" fontId="7" fillId="8" borderId="146" xfId="0" applyFont="1" applyFill="1" applyBorder="1" applyAlignment="1" applyProtection="1">
      <alignment horizontal="center"/>
    </xf>
    <xf numFmtId="0" fontId="7" fillId="8" borderId="147" xfId="0" applyFont="1" applyFill="1" applyBorder="1" applyAlignment="1" applyProtection="1">
      <alignment horizontal="center"/>
    </xf>
    <xf numFmtId="0" fontId="6" fillId="8" borderId="33" xfId="0" applyFont="1" applyFill="1" applyBorder="1" applyAlignment="1" applyProtection="1">
      <alignment horizontal="center"/>
    </xf>
    <xf numFmtId="0" fontId="6" fillId="8" borderId="89" xfId="0" applyFont="1" applyFill="1" applyBorder="1" applyAlignment="1" applyProtection="1">
      <alignment horizontal="center"/>
    </xf>
    <xf numFmtId="0" fontId="6" fillId="8" borderId="202" xfId="0" applyFont="1" applyFill="1" applyBorder="1" applyAlignment="1" applyProtection="1">
      <alignment horizontal="center"/>
    </xf>
    <xf numFmtId="0" fontId="6" fillId="8" borderId="182" xfId="0" applyFont="1" applyFill="1" applyBorder="1" applyAlignment="1" applyProtection="1">
      <alignment horizontal="center"/>
    </xf>
    <xf numFmtId="0" fontId="6" fillId="8" borderId="209" xfId="0" applyFont="1" applyFill="1" applyBorder="1" applyAlignment="1" applyProtection="1">
      <alignment horizontal="center"/>
    </xf>
    <xf numFmtId="0" fontId="20" fillId="8" borderId="25" xfId="0" applyFont="1" applyFill="1" applyBorder="1" applyAlignment="1" applyProtection="1">
      <alignment horizontal="center"/>
    </xf>
    <xf numFmtId="0" fontId="20" fillId="8" borderId="26" xfId="0" applyFont="1" applyFill="1" applyBorder="1" applyAlignment="1" applyProtection="1">
      <alignment horizontal="center"/>
    </xf>
    <xf numFmtId="21" fontId="36" fillId="0" borderId="204" xfId="0" applyNumberFormat="1" applyFont="1" applyFill="1" applyBorder="1" applyAlignment="1" applyProtection="1">
      <alignment horizontal="center" vertical="center"/>
      <protection locked="0"/>
    </xf>
    <xf numFmtId="21" fontId="36" fillId="0" borderId="206" xfId="0" applyNumberFormat="1" applyFont="1" applyFill="1" applyBorder="1" applyAlignment="1" applyProtection="1">
      <alignment horizontal="center" vertical="center"/>
      <protection locked="0"/>
    </xf>
    <xf numFmtId="21" fontId="36" fillId="0" borderId="207" xfId="0" applyNumberFormat="1" applyFont="1" applyFill="1" applyBorder="1" applyAlignment="1" applyProtection="1">
      <alignment horizontal="center" vertical="center"/>
      <protection locked="0"/>
    </xf>
    <xf numFmtId="0" fontId="7" fillId="8" borderId="59" xfId="0" applyFont="1" applyFill="1" applyBorder="1" applyAlignment="1" applyProtection="1">
      <alignment horizontal="center" vertical="top"/>
    </xf>
    <xf numFmtId="0" fontId="7" fillId="8" borderId="0" xfId="0" applyFont="1" applyFill="1" applyBorder="1" applyAlignment="1" applyProtection="1">
      <alignment horizontal="center" vertical="top"/>
    </xf>
    <xf numFmtId="0" fontId="7" fillId="7" borderId="168" xfId="0" applyNumberFormat="1" applyFont="1" applyFill="1" applyBorder="1" applyAlignment="1" applyProtection="1">
      <alignment horizontal="center"/>
    </xf>
    <xf numFmtId="0" fontId="7" fillId="7" borderId="169" xfId="0" applyNumberFormat="1" applyFont="1" applyFill="1" applyBorder="1" applyAlignment="1" applyProtection="1">
      <alignment horizontal="center"/>
    </xf>
    <xf numFmtId="0" fontId="7" fillId="20" borderId="129" xfId="0" applyFont="1" applyFill="1" applyBorder="1" applyAlignment="1" applyProtection="1">
      <alignment horizontal="center"/>
    </xf>
    <xf numFmtId="0" fontId="7" fillId="20" borderId="130" xfId="0" applyFont="1" applyFill="1" applyBorder="1" applyAlignment="1" applyProtection="1">
      <alignment horizontal="center"/>
    </xf>
    <xf numFmtId="0" fontId="10" fillId="8" borderId="179" xfId="0" applyFont="1" applyFill="1" applyBorder="1" applyAlignment="1" applyProtection="1">
      <alignment horizontal="center"/>
    </xf>
    <xf numFmtId="0" fontId="10" fillId="8" borderId="62" xfId="0" applyFont="1" applyFill="1" applyBorder="1" applyAlignment="1" applyProtection="1">
      <alignment horizontal="center"/>
    </xf>
    <xf numFmtId="0" fontId="7" fillId="14" borderId="174" xfId="0" applyFont="1" applyFill="1" applyBorder="1" applyAlignment="1" applyProtection="1">
      <alignment horizontal="center"/>
    </xf>
    <xf numFmtId="0" fontId="7" fillId="14" borderId="175" xfId="0" applyFont="1" applyFill="1" applyBorder="1" applyAlignment="1" applyProtection="1">
      <alignment horizontal="center"/>
    </xf>
    <xf numFmtId="0" fontId="39" fillId="0" borderId="25" xfId="0" applyFont="1" applyBorder="1" applyAlignment="1" applyProtection="1">
      <alignment horizontal="center"/>
    </xf>
    <xf numFmtId="0" fontId="39" fillId="0" borderId="26" xfId="0" applyFont="1" applyBorder="1" applyAlignment="1" applyProtection="1">
      <alignment horizontal="center"/>
    </xf>
    <xf numFmtId="0" fontId="7" fillId="14" borderId="140" xfId="0" applyFont="1" applyFill="1" applyBorder="1" applyAlignment="1" applyProtection="1">
      <alignment horizontal="center"/>
    </xf>
    <xf numFmtId="0" fontId="7" fillId="14" borderId="141" xfId="0" applyFont="1" applyFill="1" applyBorder="1" applyAlignment="1" applyProtection="1">
      <alignment horizontal="center"/>
    </xf>
    <xf numFmtId="197" fontId="20" fillId="21" borderId="81" xfId="0" applyNumberFormat="1" applyFont="1" applyFill="1" applyBorder="1" applyAlignment="1">
      <alignment horizontal="center"/>
    </xf>
    <xf numFmtId="197" fontId="20" fillId="21" borderId="82" xfId="0" applyNumberFormat="1" applyFont="1" applyFill="1" applyBorder="1" applyAlignment="1">
      <alignment horizontal="center"/>
    </xf>
    <xf numFmtId="0" fontId="0" fillId="2" borderId="168" xfId="0" applyFill="1" applyBorder="1" applyAlignment="1" applyProtection="1">
      <alignment horizontal="center"/>
    </xf>
    <xf numFmtId="0" fontId="0" fillId="2" borderId="70" xfId="0" applyFill="1" applyBorder="1" applyAlignment="1" applyProtection="1">
      <alignment horizontal="center"/>
    </xf>
    <xf numFmtId="0" fontId="0" fillId="2" borderId="186" xfId="0" applyFill="1" applyBorder="1" applyAlignment="1" applyProtection="1">
      <alignment horizontal="center"/>
    </xf>
    <xf numFmtId="0" fontId="20" fillId="2" borderId="168" xfId="0" applyFont="1" applyFill="1" applyBorder="1" applyAlignment="1" applyProtection="1">
      <alignment horizontal="center"/>
    </xf>
    <xf numFmtId="0" fontId="20" fillId="2" borderId="70" xfId="0" applyFont="1" applyFill="1" applyBorder="1" applyAlignment="1" applyProtection="1">
      <alignment horizontal="center"/>
    </xf>
    <xf numFmtId="0" fontId="20" fillId="2" borderId="186" xfId="0" applyFont="1" applyFill="1" applyBorder="1" applyAlignment="1" applyProtection="1">
      <alignment horizontal="center"/>
    </xf>
    <xf numFmtId="0" fontId="7" fillId="2" borderId="90" xfId="0" applyFont="1" applyFill="1" applyBorder="1" applyAlignment="1" applyProtection="1">
      <alignment horizontal="center"/>
    </xf>
    <xf numFmtId="0" fontId="7" fillId="2" borderId="5" xfId="0" applyFont="1" applyFill="1" applyBorder="1" applyAlignment="1" applyProtection="1">
      <alignment horizontal="center"/>
    </xf>
    <xf numFmtId="0" fontId="7" fillId="2" borderId="6" xfId="0" applyFont="1" applyFill="1" applyBorder="1" applyAlignment="1" applyProtection="1">
      <alignment horizontal="center"/>
    </xf>
    <xf numFmtId="0" fontId="2" fillId="2" borderId="129" xfId="0" applyFont="1" applyFill="1" applyBorder="1" applyAlignment="1" applyProtection="1">
      <alignment horizontal="center"/>
    </xf>
    <xf numFmtId="0" fontId="2" fillId="2" borderId="130" xfId="0" applyFont="1" applyFill="1" applyBorder="1" applyAlignment="1" applyProtection="1">
      <alignment horizontal="center"/>
    </xf>
    <xf numFmtId="0" fontId="2" fillId="2" borderId="216" xfId="0" applyFont="1" applyFill="1" applyBorder="1" applyAlignment="1" applyProtection="1">
      <alignment horizontal="right"/>
    </xf>
    <xf numFmtId="0" fontId="2" fillId="2" borderId="70" xfId="0" applyFont="1" applyFill="1" applyBorder="1" applyAlignment="1" applyProtection="1">
      <alignment horizontal="right"/>
    </xf>
    <xf numFmtId="21" fontId="2" fillId="2" borderId="203" xfId="0" applyNumberFormat="1" applyFont="1" applyFill="1" applyBorder="1" applyAlignment="1" applyProtection="1">
      <alignment horizontal="right"/>
    </xf>
    <xf numFmtId="21" fontId="2" fillId="2" borderId="70" xfId="0" applyNumberFormat="1" applyFont="1" applyFill="1" applyBorder="1" applyAlignment="1" applyProtection="1">
      <alignment horizontal="right"/>
    </xf>
    <xf numFmtId="0" fontId="6" fillId="8" borderId="174" xfId="0" applyFont="1" applyFill="1" applyBorder="1" applyAlignment="1" applyProtection="1">
      <alignment horizontal="center"/>
    </xf>
    <xf numFmtId="0" fontId="6" fillId="8" borderId="175" xfId="0" applyFont="1" applyFill="1" applyBorder="1" applyAlignment="1" applyProtection="1">
      <alignment horizontal="center"/>
    </xf>
    <xf numFmtId="0" fontId="7" fillId="2" borderId="27" xfId="0" applyFont="1" applyFill="1" applyBorder="1" applyAlignment="1" applyProtection="1">
      <alignment horizontal="center"/>
    </xf>
    <xf numFmtId="0" fontId="7" fillId="2" borderId="216" xfId="0" applyFont="1" applyFill="1" applyBorder="1" applyAlignment="1" applyProtection="1">
      <alignment horizontal="center"/>
    </xf>
    <xf numFmtId="0" fontId="7" fillId="2" borderId="26" xfId="0" applyFont="1" applyFill="1" applyBorder="1" applyAlignment="1" applyProtection="1">
      <alignment horizontal="center"/>
    </xf>
    <xf numFmtId="0" fontId="7" fillId="14" borderId="179" xfId="0" applyFont="1" applyFill="1" applyBorder="1" applyAlignment="1" applyProtection="1">
      <alignment horizontal="center"/>
    </xf>
    <xf numFmtId="0" fontId="7" fillId="14" borderId="180" xfId="0" applyFont="1" applyFill="1" applyBorder="1" applyAlignment="1" applyProtection="1">
      <alignment horizontal="center"/>
    </xf>
    <xf numFmtId="0" fontId="6" fillId="0" borderId="123" xfId="0" applyFont="1" applyBorder="1" applyAlignment="1" applyProtection="1">
      <alignment horizontal="center" vertical="top"/>
    </xf>
    <xf numFmtId="0" fontId="6" fillId="0" borderId="124" xfId="0" applyFont="1" applyBorder="1" applyAlignment="1" applyProtection="1">
      <alignment horizontal="center" vertical="top"/>
    </xf>
    <xf numFmtId="0" fontId="6" fillId="0" borderId="32" xfId="0" applyFont="1" applyBorder="1" applyAlignment="1" applyProtection="1">
      <alignment horizontal="center" vertical="top"/>
    </xf>
    <xf numFmtId="0" fontId="7" fillId="2" borderId="130" xfId="0" applyFont="1" applyFill="1" applyBorder="1" applyAlignment="1" applyProtection="1">
      <alignment horizontal="right"/>
    </xf>
    <xf numFmtId="198" fontId="6" fillId="8" borderId="51" xfId="0" applyNumberFormat="1" applyFont="1" applyFill="1" applyBorder="1" applyAlignment="1" applyProtection="1">
      <alignment horizontal="center"/>
    </xf>
    <xf numFmtId="198" fontId="6" fillId="8" borderId="128" xfId="0" applyNumberFormat="1" applyFont="1" applyFill="1" applyBorder="1" applyAlignment="1" applyProtection="1">
      <alignment horizontal="center"/>
    </xf>
    <xf numFmtId="182" fontId="2" fillId="11" borderId="213" xfId="0" applyNumberFormat="1" applyFont="1" applyFill="1" applyBorder="1" applyAlignment="1" applyProtection="1">
      <alignment horizontal="center" vertical="center"/>
    </xf>
    <xf numFmtId="182" fontId="2" fillId="11" borderId="208" xfId="0" applyNumberFormat="1" applyFont="1" applyFill="1" applyBorder="1" applyAlignment="1" applyProtection="1">
      <alignment horizontal="center" vertical="center"/>
    </xf>
    <xf numFmtId="182" fontId="2" fillId="11" borderId="265" xfId="0" applyNumberFormat="1" applyFont="1" applyFill="1" applyBorder="1" applyAlignment="1" applyProtection="1">
      <alignment horizontal="center" vertical="center"/>
    </xf>
    <xf numFmtId="21" fontId="6" fillId="2" borderId="203" xfId="0" applyNumberFormat="1" applyFont="1" applyFill="1" applyBorder="1" applyAlignment="1" applyProtection="1">
      <alignment horizontal="center"/>
    </xf>
    <xf numFmtId="21" fontId="6" fillId="2" borderId="70" xfId="0" applyNumberFormat="1" applyFont="1" applyFill="1" applyBorder="1" applyAlignment="1" applyProtection="1">
      <alignment horizontal="center"/>
    </xf>
    <xf numFmtId="0" fontId="0" fillId="2" borderId="18" xfId="0" applyFill="1" applyBorder="1" applyAlignment="1" applyProtection="1">
      <alignment horizontal="center"/>
    </xf>
    <xf numFmtId="0" fontId="0" fillId="2" borderId="169" xfId="0" applyFill="1" applyBorder="1" applyAlignment="1" applyProtection="1">
      <alignment horizontal="center"/>
    </xf>
    <xf numFmtId="0" fontId="6" fillId="0" borderId="70" xfId="0" applyFont="1" applyBorder="1" applyAlignment="1" applyProtection="1">
      <alignment horizontal="center" vertical="top"/>
    </xf>
    <xf numFmtId="0" fontId="13" fillId="2" borderId="25" xfId="0" applyFont="1" applyFill="1" applyBorder="1" applyAlignment="1" applyProtection="1"/>
    <xf numFmtId="0" fontId="13" fillId="2" borderId="26" xfId="0" applyFont="1" applyFill="1" applyBorder="1" applyAlignment="1" applyProtection="1"/>
    <xf numFmtId="0" fontId="9" fillId="0" borderId="89" xfId="0" applyFont="1" applyFill="1" applyBorder="1" applyAlignment="1" applyProtection="1">
      <alignment horizontal="center" vertical="top"/>
    </xf>
    <xf numFmtId="0" fontId="9" fillId="0" borderId="202" xfId="0" applyFont="1" applyFill="1" applyBorder="1" applyAlignment="1" applyProtection="1">
      <alignment horizontal="center" vertical="top"/>
    </xf>
    <xf numFmtId="0" fontId="7" fillId="2" borderId="217" xfId="0" applyFont="1" applyFill="1" applyBorder="1" applyAlignment="1" applyProtection="1">
      <alignment horizontal="center"/>
    </xf>
    <xf numFmtId="0" fontId="7" fillId="2" borderId="218" xfId="0" applyFont="1" applyFill="1" applyBorder="1" applyAlignment="1" applyProtection="1">
      <alignment horizontal="center"/>
    </xf>
    <xf numFmtId="0" fontId="10" fillId="2" borderId="219" xfId="0" applyFont="1" applyFill="1" applyBorder="1" applyAlignment="1" applyProtection="1">
      <alignment horizontal="center"/>
    </xf>
    <xf numFmtId="0" fontId="10" fillId="2" borderId="218" xfId="0" applyFont="1" applyFill="1" applyBorder="1" applyAlignment="1" applyProtection="1">
      <alignment horizontal="center"/>
    </xf>
    <xf numFmtId="0" fontId="10" fillId="2" borderId="18" xfId="0" applyFont="1" applyFill="1" applyBorder="1" applyAlignment="1" applyProtection="1">
      <alignment horizontal="center"/>
    </xf>
    <xf numFmtId="172" fontId="2" fillId="11" borderId="53" xfId="0" applyNumberFormat="1" applyFont="1" applyFill="1" applyBorder="1" applyAlignment="1" applyProtection="1">
      <alignment horizontal="center"/>
    </xf>
    <xf numFmtId="172" fontId="2" fillId="11" borderId="136" xfId="0" applyNumberFormat="1" applyFont="1" applyFill="1" applyBorder="1" applyAlignment="1" applyProtection="1">
      <alignment horizontal="center"/>
    </xf>
    <xf numFmtId="172" fontId="2" fillId="11" borderId="214" xfId="0" applyNumberFormat="1" applyFont="1" applyFill="1" applyBorder="1" applyAlignment="1" applyProtection="1">
      <alignment horizontal="center"/>
    </xf>
    <xf numFmtId="172" fontId="2" fillId="11" borderId="175" xfId="0" applyNumberFormat="1" applyFont="1" applyFill="1" applyBorder="1" applyAlignment="1" applyProtection="1">
      <alignment horizontal="center"/>
    </xf>
    <xf numFmtId="172" fontId="2" fillId="11" borderId="12" xfId="0" applyNumberFormat="1" applyFont="1" applyFill="1" applyBorder="1" applyAlignment="1" applyProtection="1">
      <alignment horizontal="center"/>
    </xf>
    <xf numFmtId="0" fontId="10" fillId="8" borderId="146" xfId="0" applyFont="1" applyFill="1" applyBorder="1" applyAlignment="1" applyProtection="1">
      <alignment horizontal="center"/>
    </xf>
    <xf numFmtId="0" fontId="10" fillId="8" borderId="17" xfId="0" applyFont="1" applyFill="1" applyBorder="1" applyAlignment="1" applyProtection="1">
      <alignment horizontal="center"/>
    </xf>
    <xf numFmtId="172" fontId="6" fillId="5" borderId="59" xfId="0" applyNumberFormat="1" applyFont="1" applyFill="1" applyBorder="1" applyAlignment="1" applyProtection="1">
      <alignment horizontal="center" vertical="center"/>
    </xf>
    <xf numFmtId="172" fontId="6" fillId="5" borderId="0" xfId="0" applyNumberFormat="1" applyFont="1" applyFill="1" applyBorder="1" applyAlignment="1" applyProtection="1">
      <alignment horizontal="center" vertical="center"/>
    </xf>
    <xf numFmtId="172" fontId="6" fillId="5" borderId="60" xfId="0" applyNumberFormat="1" applyFont="1" applyFill="1" applyBorder="1" applyAlignment="1" applyProtection="1">
      <alignment horizontal="center" vertical="center"/>
    </xf>
    <xf numFmtId="0" fontId="7" fillId="11" borderId="11" xfId="0" applyFont="1" applyFill="1" applyBorder="1" applyAlignment="1" applyProtection="1">
      <alignment horizontal="right"/>
    </xf>
    <xf numFmtId="0" fontId="7" fillId="11" borderId="28" xfId="0" applyFont="1" applyFill="1" applyBorder="1" applyAlignment="1" applyProtection="1">
      <alignment horizontal="right"/>
    </xf>
    <xf numFmtId="0" fontId="10" fillId="8" borderId="220" xfId="0" applyFont="1" applyFill="1" applyBorder="1" applyAlignment="1" applyProtection="1">
      <alignment horizontal="center"/>
    </xf>
    <xf numFmtId="0" fontId="10" fillId="8" borderId="216" xfId="0" applyFont="1" applyFill="1" applyBorder="1" applyAlignment="1" applyProtection="1">
      <alignment horizontal="center"/>
    </xf>
    <xf numFmtId="172" fontId="6" fillId="5" borderId="14" xfId="0" applyNumberFormat="1" applyFont="1" applyFill="1" applyBorder="1" applyAlignment="1" applyProtection="1">
      <alignment horizontal="center" vertical="center"/>
    </xf>
    <xf numFmtId="172" fontId="6" fillId="5" borderId="18" xfId="0" applyNumberFormat="1" applyFont="1" applyFill="1" applyBorder="1" applyAlignment="1" applyProtection="1">
      <alignment horizontal="center" vertical="center"/>
    </xf>
    <xf numFmtId="172" fontId="6" fillId="5" borderId="15" xfId="0" applyNumberFormat="1" applyFont="1" applyFill="1" applyBorder="1" applyAlignment="1" applyProtection="1">
      <alignment horizontal="center" vertical="center"/>
    </xf>
    <xf numFmtId="0" fontId="7" fillId="11" borderId="61" xfId="0" applyFont="1" applyFill="1" applyBorder="1" applyAlignment="1" applyProtection="1">
      <alignment horizontal="right"/>
    </xf>
    <xf numFmtId="0" fontId="7" fillId="11" borderId="266" xfId="0" applyFont="1" applyFill="1" applyBorder="1" applyAlignment="1" applyProtection="1">
      <alignment horizontal="right"/>
    </xf>
    <xf numFmtId="0" fontId="13" fillId="16" borderId="25" xfId="0" applyFont="1" applyFill="1" applyBorder="1" applyAlignment="1" applyProtection="1">
      <alignment horizontal="center"/>
    </xf>
    <xf numFmtId="0" fontId="13" fillId="16" borderId="26" xfId="0" applyFont="1" applyFill="1" applyBorder="1" applyAlignment="1" applyProtection="1">
      <alignment horizontal="center"/>
    </xf>
    <xf numFmtId="0" fontId="13" fillId="16" borderId="191" xfId="0" applyFont="1" applyFill="1" applyBorder="1" applyAlignment="1" applyProtection="1">
      <alignment horizontal="center"/>
    </xf>
    <xf numFmtId="0" fontId="0" fillId="2" borderId="173" xfId="0" applyFill="1" applyBorder="1" applyAlignment="1" applyProtection="1">
      <alignment horizontal="center"/>
    </xf>
    <xf numFmtId="0" fontId="7" fillId="2" borderId="132" xfId="0" applyFont="1" applyFill="1" applyBorder="1" applyAlignment="1" applyProtection="1">
      <alignment horizontal="center"/>
    </xf>
    <xf numFmtId="0" fontId="7" fillId="2" borderId="130" xfId="0" applyFont="1" applyFill="1" applyBorder="1" applyAlignment="1" applyProtection="1">
      <alignment horizontal="center"/>
    </xf>
    <xf numFmtId="0" fontId="7" fillId="2" borderId="203" xfId="0" applyFont="1" applyFill="1" applyBorder="1" applyAlignment="1" applyProtection="1">
      <alignment horizontal="center"/>
    </xf>
    <xf numFmtId="0" fontId="7" fillId="2" borderId="70" xfId="0" applyFont="1" applyFill="1" applyBorder="1" applyAlignment="1" applyProtection="1">
      <alignment horizontal="center"/>
    </xf>
    <xf numFmtId="21" fontId="13" fillId="2" borderId="90" xfId="0" applyNumberFormat="1" applyFont="1" applyFill="1" applyBorder="1" applyAlignment="1" applyProtection="1">
      <alignment horizontal="center"/>
    </xf>
    <xf numFmtId="204" fontId="2" fillId="15" borderId="136" xfId="0" applyNumberFormat="1" applyFont="1" applyFill="1" applyBorder="1" applyAlignment="1" applyProtection="1">
      <alignment horizontal="center"/>
    </xf>
    <xf numFmtId="204" fontId="2" fillId="15" borderId="154" xfId="0" applyNumberFormat="1" applyFont="1" applyFill="1" applyBorder="1" applyAlignment="1" applyProtection="1">
      <alignment horizontal="center"/>
    </xf>
    <xf numFmtId="172" fontId="2" fillId="11" borderId="178" xfId="0" applyNumberFormat="1" applyFont="1" applyFill="1" applyBorder="1" applyAlignment="1" applyProtection="1">
      <alignment horizontal="center"/>
    </xf>
    <xf numFmtId="172" fontId="2" fillId="11" borderId="147" xfId="0" applyNumberFormat="1" applyFont="1" applyFill="1" applyBorder="1" applyAlignment="1" applyProtection="1">
      <alignment horizontal="center"/>
    </xf>
    <xf numFmtId="172" fontId="2" fillId="11" borderId="177" xfId="0" applyNumberFormat="1" applyFont="1" applyFill="1" applyBorder="1" applyAlignment="1" applyProtection="1">
      <alignment horizontal="center"/>
    </xf>
    <xf numFmtId="0" fontId="20" fillId="2" borderId="90" xfId="0" applyFont="1" applyFill="1" applyBorder="1" applyAlignment="1" applyProtection="1">
      <alignment horizontal="center"/>
    </xf>
    <xf numFmtId="0" fontId="20" fillId="2" borderId="5" xfId="0" applyFont="1" applyFill="1" applyBorder="1" applyAlignment="1" applyProtection="1">
      <alignment horizontal="center"/>
    </xf>
    <xf numFmtId="0" fontId="20" fillId="2" borderId="6" xfId="0" applyFont="1" applyFill="1" applyBorder="1" applyAlignment="1" applyProtection="1">
      <alignment horizontal="center"/>
    </xf>
    <xf numFmtId="201" fontId="2" fillId="15" borderId="22" xfId="0" applyNumberFormat="1" applyFont="1" applyFill="1" applyBorder="1" applyAlignment="1" applyProtection="1">
      <alignment horizontal="center"/>
    </xf>
    <xf numFmtId="201" fontId="2" fillId="15" borderId="221" xfId="0" applyNumberFormat="1" applyFont="1" applyFill="1" applyBorder="1" applyAlignment="1" applyProtection="1">
      <alignment horizontal="center"/>
    </xf>
    <xf numFmtId="172" fontId="3" fillId="0" borderId="255" xfId="0" applyNumberFormat="1" applyFont="1" applyFill="1" applyBorder="1" applyAlignment="1" applyProtection="1">
      <alignment horizontal="center"/>
      <protection locked="0"/>
    </xf>
    <xf numFmtId="172" fontId="3" fillId="0" borderId="148" xfId="0" applyNumberFormat="1" applyFont="1" applyFill="1" applyBorder="1" applyAlignment="1" applyProtection="1">
      <alignment horizontal="center"/>
      <protection locked="0"/>
    </xf>
    <xf numFmtId="2" fontId="2" fillId="25" borderId="148" xfId="0" applyNumberFormat="1" applyFont="1" applyFill="1" applyBorder="1" applyAlignment="1" applyProtection="1">
      <alignment horizontal="center"/>
    </xf>
    <xf numFmtId="205" fontId="13" fillId="9" borderId="209" xfId="0" applyNumberFormat="1" applyFont="1" applyFill="1" applyBorder="1" applyAlignment="1" applyProtection="1">
      <alignment horizontal="center"/>
    </xf>
    <xf numFmtId="205" fontId="13" fillId="9" borderId="30" xfId="0" applyNumberFormat="1" applyFont="1" applyFill="1" applyBorder="1" applyAlignment="1" applyProtection="1">
      <alignment horizontal="center"/>
    </xf>
    <xf numFmtId="0" fontId="10" fillId="8" borderId="223" xfId="0" applyFont="1" applyFill="1" applyBorder="1" applyAlignment="1" applyProtection="1">
      <alignment horizontal="center"/>
    </xf>
    <xf numFmtId="0" fontId="10" fillId="8" borderId="224" xfId="0" applyFont="1" applyFill="1" applyBorder="1" applyAlignment="1" applyProtection="1">
      <alignment horizontal="center"/>
    </xf>
    <xf numFmtId="0" fontId="13" fillId="9" borderId="267" xfId="0" applyFont="1" applyFill="1" applyBorder="1" applyAlignment="1" applyProtection="1">
      <alignment horizontal="center"/>
    </xf>
    <xf numFmtId="0" fontId="13" fillId="9" borderId="268" xfId="0" applyFont="1" applyFill="1" applyBorder="1" applyAlignment="1" applyProtection="1">
      <alignment horizontal="center"/>
    </xf>
    <xf numFmtId="0" fontId="13" fillId="9" borderId="269" xfId="0" applyFont="1" applyFill="1" applyBorder="1" applyAlignment="1" applyProtection="1">
      <alignment horizontal="center"/>
    </xf>
    <xf numFmtId="172" fontId="3" fillId="0" borderId="270" xfId="0" applyNumberFormat="1" applyFont="1" applyFill="1" applyBorder="1" applyAlignment="1" applyProtection="1">
      <alignment horizontal="center"/>
      <protection locked="0"/>
    </xf>
    <xf numFmtId="172" fontId="3" fillId="0" borderId="271" xfId="0" applyNumberFormat="1" applyFont="1" applyFill="1" applyBorder="1" applyAlignment="1" applyProtection="1">
      <alignment horizontal="center"/>
      <protection locked="0"/>
    </xf>
    <xf numFmtId="2" fontId="1" fillId="9" borderId="271" xfId="0" applyNumberFormat="1" applyFont="1" applyFill="1" applyBorder="1" applyAlignment="1" applyProtection="1">
      <alignment horizontal="center"/>
    </xf>
    <xf numFmtId="205" fontId="13" fillId="9" borderId="272" xfId="0" applyNumberFormat="1" applyFont="1" applyFill="1" applyBorder="1" applyAlignment="1" applyProtection="1">
      <alignment horizontal="center"/>
    </xf>
    <xf numFmtId="205" fontId="13" fillId="9" borderId="268" xfId="0" applyNumberFormat="1" applyFont="1" applyFill="1" applyBorder="1" applyAlignment="1" applyProtection="1">
      <alignment horizontal="center"/>
    </xf>
    <xf numFmtId="0" fontId="43" fillId="8" borderId="143" xfId="0" applyFont="1" applyFill="1" applyBorder="1" applyAlignment="1" applyProtection="1">
      <alignment horizontal="center"/>
      <protection locked="0"/>
    </xf>
    <xf numFmtId="0" fontId="43" fillId="8" borderId="139" xfId="0" applyFont="1" applyFill="1" applyBorder="1" applyAlignment="1" applyProtection="1">
      <alignment horizontal="center"/>
      <protection locked="0"/>
    </xf>
    <xf numFmtId="0" fontId="13" fillId="9" borderId="12" xfId="0" applyFont="1" applyFill="1" applyBorder="1" applyAlignment="1" applyProtection="1"/>
    <xf numFmtId="0" fontId="13" fillId="9" borderId="28" xfId="0" applyFont="1" applyFill="1" applyBorder="1" applyAlignment="1" applyProtection="1"/>
    <xf numFmtId="0" fontId="20" fillId="0" borderId="22" xfId="0" applyFont="1" applyBorder="1" applyAlignment="1" applyProtection="1">
      <alignment horizontal="center"/>
    </xf>
    <xf numFmtId="0" fontId="20" fillId="0" borderId="23" xfId="0" applyFont="1" applyBorder="1" applyAlignment="1" applyProtection="1">
      <alignment horizontal="center"/>
    </xf>
    <xf numFmtId="0" fontId="20" fillId="0" borderId="24" xfId="0" applyFont="1" applyBorder="1" applyAlignment="1" applyProtection="1">
      <alignment horizontal="center"/>
    </xf>
    <xf numFmtId="0" fontId="23" fillId="0" borderId="69" xfId="1" applyNumberFormat="1" applyBorder="1" applyAlignment="1" applyProtection="1">
      <alignment horizontal="center"/>
    </xf>
    <xf numFmtId="0" fontId="23" fillId="0" borderId="70" xfId="1" applyNumberFormat="1" applyBorder="1" applyAlignment="1" applyProtection="1">
      <alignment horizontal="center"/>
    </xf>
    <xf numFmtId="0" fontId="23" fillId="0" borderId="173" xfId="1" applyNumberFormat="1" applyBorder="1" applyAlignment="1" applyProtection="1">
      <alignment horizontal="center"/>
    </xf>
    <xf numFmtId="0" fontId="7" fillId="2" borderId="171" xfId="0" applyFont="1" applyFill="1" applyBorder="1" applyAlignment="1">
      <alignment horizontal="center"/>
    </xf>
    <xf numFmtId="0" fontId="7" fillId="2" borderId="222" xfId="0" applyFont="1" applyFill="1" applyBorder="1" applyAlignment="1">
      <alignment horizontal="center"/>
    </xf>
    <xf numFmtId="0" fontId="7" fillId="2" borderId="51" xfId="0" applyFont="1" applyFill="1" applyBorder="1" applyAlignment="1">
      <alignment horizontal="center"/>
    </xf>
    <xf numFmtId="0" fontId="7" fillId="2" borderId="52" xfId="0" applyFont="1" applyFill="1" applyBorder="1" applyAlignment="1">
      <alignment horizontal="center"/>
    </xf>
    <xf numFmtId="0" fontId="7" fillId="2" borderId="174" xfId="0" applyFont="1" applyFill="1" applyBorder="1" applyAlignment="1">
      <alignment horizontal="center"/>
    </xf>
    <xf numFmtId="0" fontId="7" fillId="2" borderId="28" xfId="0" applyFont="1" applyFill="1" applyBorder="1" applyAlignment="1">
      <alignment horizontal="center"/>
    </xf>
    <xf numFmtId="0" fontId="7" fillId="2" borderId="20" xfId="0" applyFont="1" applyFill="1" applyBorder="1" applyAlignment="1">
      <alignment horizontal="center"/>
    </xf>
    <xf numFmtId="215" fontId="2" fillId="15" borderId="141" xfId="0" applyNumberFormat="1" applyFont="1" applyFill="1" applyBorder="1" applyAlignment="1" applyProtection="1">
      <alignment horizontal="center"/>
    </xf>
    <xf numFmtId="215" fontId="2" fillId="15" borderId="138" xfId="0" applyNumberFormat="1" applyFont="1" applyFill="1" applyBorder="1" applyAlignment="1" applyProtection="1">
      <alignment horizontal="center"/>
    </xf>
    <xf numFmtId="0" fontId="20" fillId="2" borderId="90" xfId="0" applyFont="1" applyFill="1" applyBorder="1" applyAlignment="1">
      <alignment horizontal="center"/>
    </xf>
    <xf numFmtId="0" fontId="20" fillId="2" borderId="5" xfId="0" applyFont="1" applyFill="1" applyBorder="1" applyAlignment="1">
      <alignment horizontal="center"/>
    </xf>
    <xf numFmtId="0" fontId="20" fillId="2" borderId="4" xfId="0" applyFont="1" applyFill="1" applyBorder="1" applyAlignment="1">
      <alignment horizontal="center"/>
    </xf>
    <xf numFmtId="0" fontId="20" fillId="2" borderId="6" xfId="0" applyFont="1" applyFill="1" applyBorder="1" applyAlignment="1">
      <alignment horizontal="center"/>
    </xf>
    <xf numFmtId="217" fontId="2" fillId="15" borderId="139" xfId="0" applyNumberFormat="1" applyFont="1" applyFill="1" applyBorder="1" applyAlignment="1" applyProtection="1">
      <alignment horizontal="center"/>
    </xf>
    <xf numFmtId="217" fontId="2" fillId="15" borderId="145" xfId="0" applyNumberFormat="1" applyFont="1" applyFill="1" applyBorder="1" applyAlignment="1" applyProtection="1">
      <alignment horizontal="center"/>
    </xf>
    <xf numFmtId="0" fontId="13" fillId="2" borderId="14" xfId="0" applyFont="1" applyFill="1" applyBorder="1" applyAlignment="1">
      <alignment horizontal="center"/>
    </xf>
    <xf numFmtId="0" fontId="13" fillId="2" borderId="18" xfId="0" applyFont="1" applyFill="1" applyBorder="1" applyAlignment="1">
      <alignment horizontal="center"/>
    </xf>
    <xf numFmtId="0" fontId="13" fillId="16" borderId="69" xfId="0" applyFont="1" applyFill="1" applyBorder="1" applyAlignment="1" applyProtection="1">
      <alignment horizontal="center"/>
    </xf>
    <xf numFmtId="0" fontId="13" fillId="16" borderId="70" xfId="0" applyFont="1" applyFill="1" applyBorder="1" applyAlignment="1" applyProtection="1">
      <alignment horizontal="center"/>
    </xf>
    <xf numFmtId="0" fontId="13" fillId="16" borderId="186" xfId="0" applyFont="1" applyFill="1" applyBorder="1" applyAlignment="1" applyProtection="1">
      <alignment horizontal="center"/>
    </xf>
    <xf numFmtId="212" fontId="2" fillId="15" borderId="136" xfId="0" applyNumberFormat="1" applyFont="1" applyFill="1" applyBorder="1" applyAlignment="1" applyProtection="1">
      <alignment horizontal="center"/>
    </xf>
    <xf numFmtId="212" fontId="2" fillId="15" borderId="154" xfId="0" applyNumberFormat="1" applyFont="1" applyFill="1" applyBorder="1" applyAlignment="1" applyProtection="1">
      <alignment horizontal="center"/>
    </xf>
    <xf numFmtId="200" fontId="2" fillId="15" borderId="22" xfId="0" applyNumberFormat="1" applyFont="1" applyFill="1" applyBorder="1" applyAlignment="1" applyProtection="1">
      <alignment horizontal="center"/>
    </xf>
    <xf numFmtId="200" fontId="2" fillId="15" borderId="221" xfId="0" applyNumberFormat="1" applyFont="1" applyFill="1" applyBorder="1" applyAlignment="1" applyProtection="1">
      <alignment horizontal="center"/>
    </xf>
    <xf numFmtId="210" fontId="2" fillId="15" borderId="147" xfId="0" applyNumberFormat="1" applyFont="1" applyFill="1" applyBorder="1" applyAlignment="1" applyProtection="1">
      <alignment horizontal="center"/>
    </xf>
    <xf numFmtId="210" fontId="2" fillId="15" borderId="160" xfId="0" applyNumberFormat="1" applyFont="1" applyFill="1" applyBorder="1" applyAlignment="1" applyProtection="1">
      <alignment horizontal="center"/>
    </xf>
    <xf numFmtId="0" fontId="13" fillId="25" borderId="67" xfId="0" applyFont="1" applyFill="1" applyBorder="1" applyAlignment="1" applyProtection="1">
      <alignment horizontal="center"/>
    </xf>
    <xf numFmtId="0" fontId="13" fillId="25" borderId="30" xfId="0" applyFont="1" applyFill="1" applyBorder="1" applyAlignment="1" applyProtection="1">
      <alignment horizontal="center"/>
    </xf>
    <xf numFmtId="0" fontId="1" fillId="0" borderId="132" xfId="0" applyFont="1" applyBorder="1" applyAlignment="1" applyProtection="1">
      <alignment horizontal="center"/>
    </xf>
    <xf numFmtId="0" fontId="1" fillId="0" borderId="130" xfId="0" applyFont="1" applyBorder="1" applyAlignment="1" applyProtection="1">
      <alignment horizontal="center"/>
    </xf>
    <xf numFmtId="0" fontId="1" fillId="0" borderId="131" xfId="0" applyFont="1" applyBorder="1" applyAlignment="1" applyProtection="1">
      <alignment horizontal="center"/>
    </xf>
    <xf numFmtId="0" fontId="7" fillId="2" borderId="62" xfId="0" applyFont="1" applyFill="1" applyBorder="1" applyAlignment="1">
      <alignment horizontal="center"/>
    </xf>
    <xf numFmtId="172" fontId="3" fillId="0" borderId="178" xfId="0" applyNumberFormat="1" applyFont="1" applyFill="1" applyBorder="1" applyAlignment="1" applyProtection="1">
      <alignment horizontal="center"/>
      <protection locked="0"/>
    </xf>
    <xf numFmtId="172" fontId="3" fillId="0" borderId="147" xfId="0" applyNumberFormat="1" applyFont="1" applyFill="1" applyBorder="1" applyAlignment="1" applyProtection="1">
      <alignment horizontal="center"/>
      <protection locked="0"/>
    </xf>
    <xf numFmtId="2" fontId="2" fillId="25" borderId="141" xfId="0" applyNumberFormat="1" applyFont="1" applyFill="1" applyBorder="1" applyAlignment="1" applyProtection="1">
      <alignment horizontal="center"/>
    </xf>
    <xf numFmtId="205" fontId="13" fillId="9" borderId="22" xfId="0" applyNumberFormat="1" applyFont="1" applyFill="1" applyBorder="1" applyAlignment="1" applyProtection="1">
      <alignment horizontal="center"/>
    </xf>
    <xf numFmtId="205" fontId="13" fillId="9" borderId="23" xfId="0" applyNumberFormat="1" applyFont="1" applyFill="1" applyBorder="1" applyAlignment="1" applyProtection="1">
      <alignment horizontal="center"/>
    </xf>
    <xf numFmtId="0" fontId="13" fillId="25" borderId="171" xfId="0" applyFont="1" applyFill="1" applyBorder="1" applyAlignment="1" applyProtection="1">
      <alignment horizontal="center"/>
    </xf>
    <xf numFmtId="0" fontId="13" fillId="25" borderId="23" xfId="0" applyFont="1" applyFill="1" applyBorder="1" applyAlignment="1" applyProtection="1">
      <alignment horizontal="center"/>
    </xf>
    <xf numFmtId="0" fontId="6" fillId="2" borderId="82" xfId="0" applyFont="1" applyFill="1" applyBorder="1" applyAlignment="1" applyProtection="1">
      <alignment horizontal="center"/>
    </xf>
    <xf numFmtId="0" fontId="13" fillId="9" borderId="171" xfId="0" applyFont="1" applyFill="1" applyBorder="1" applyAlignment="1" applyProtection="1">
      <alignment horizontal="center"/>
    </xf>
    <xf numFmtId="0" fontId="13" fillId="9" borderId="23" xfId="0" applyFont="1" applyFill="1" applyBorder="1" applyAlignment="1" applyProtection="1">
      <alignment horizontal="center"/>
    </xf>
    <xf numFmtId="0" fontId="13" fillId="9" borderId="222" xfId="0" applyFont="1" applyFill="1" applyBorder="1" applyAlignment="1" applyProtection="1">
      <alignment horizontal="center"/>
    </xf>
    <xf numFmtId="172" fontId="2" fillId="9" borderId="137" xfId="0" applyNumberFormat="1" applyFont="1" applyFill="1" applyBorder="1" applyAlignment="1" applyProtection="1">
      <alignment horizontal="center"/>
    </xf>
    <xf numFmtId="172" fontId="2" fillId="9" borderId="141" xfId="0" applyNumberFormat="1" applyFont="1" applyFill="1" applyBorder="1" applyAlignment="1" applyProtection="1">
      <alignment horizontal="center"/>
    </xf>
    <xf numFmtId="2" fontId="2" fillId="9" borderId="141" xfId="0" applyNumberFormat="1" applyFont="1" applyFill="1" applyBorder="1" applyAlignment="1" applyProtection="1">
      <alignment horizontal="center"/>
    </xf>
    <xf numFmtId="0" fontId="43" fillId="8" borderId="140" xfId="0" applyFont="1" applyFill="1" applyBorder="1" applyAlignment="1" applyProtection="1">
      <alignment horizontal="center"/>
      <protection locked="0"/>
    </xf>
    <xf numFmtId="0" fontId="43" fillId="8" borderId="141" xfId="0" applyFont="1" applyFill="1" applyBorder="1" applyAlignment="1" applyProtection="1">
      <alignment horizontal="center"/>
      <protection locked="0"/>
    </xf>
    <xf numFmtId="208" fontId="2" fillId="15" borderId="141" xfId="0" applyNumberFormat="1" applyFont="1" applyFill="1" applyBorder="1" applyAlignment="1" applyProtection="1">
      <alignment horizontal="center"/>
    </xf>
    <xf numFmtId="208" fontId="2" fillId="15" borderId="138" xfId="0" applyNumberFormat="1" applyFont="1" applyFill="1" applyBorder="1" applyAlignment="1" applyProtection="1">
      <alignment horizontal="center"/>
    </xf>
    <xf numFmtId="172" fontId="2" fillId="9" borderId="53" xfId="0" applyNumberFormat="1" applyFont="1" applyFill="1" applyBorder="1" applyAlignment="1" applyProtection="1">
      <alignment horizontal="center"/>
    </xf>
    <xf numFmtId="172" fontId="2" fillId="9" borderId="136" xfId="0" applyNumberFormat="1" applyFont="1" applyFill="1" applyBorder="1" applyAlignment="1" applyProtection="1">
      <alignment horizontal="center"/>
    </xf>
    <xf numFmtId="2" fontId="2" fillId="9" borderId="136" xfId="0" applyNumberFormat="1" applyFont="1" applyFill="1" applyBorder="1" applyAlignment="1" applyProtection="1">
      <alignment horizontal="center"/>
    </xf>
    <xf numFmtId="205" fontId="13" fillId="9" borderId="136" xfId="0" applyNumberFormat="1" applyFont="1" applyFill="1" applyBorder="1" applyAlignment="1" applyProtection="1">
      <alignment horizontal="center"/>
    </xf>
    <xf numFmtId="205" fontId="13" fillId="9" borderId="214" xfId="0" applyNumberFormat="1" applyFont="1" applyFill="1" applyBorder="1" applyAlignment="1" applyProtection="1">
      <alignment horizontal="center"/>
    </xf>
    <xf numFmtId="0" fontId="84" fillId="47" borderId="289" xfId="3" applyFont="1" applyFill="1" applyBorder="1" applyAlignment="1">
      <alignment horizontal="center" vertical="center"/>
    </xf>
    <xf numFmtId="0" fontId="88" fillId="0" borderId="288" xfId="3" applyFont="1" applyBorder="1"/>
    <xf numFmtId="0" fontId="88" fillId="0" borderId="290" xfId="3" applyFont="1" applyBorder="1"/>
    <xf numFmtId="0" fontId="84" fillId="48" borderId="289" xfId="3" applyFont="1" applyFill="1" applyBorder="1" applyAlignment="1">
      <alignment horizontal="center" vertical="center"/>
    </xf>
    <xf numFmtId="0" fontId="88" fillId="27" borderId="290" xfId="3" applyFont="1" applyFill="1" applyBorder="1"/>
    <xf numFmtId="0" fontId="88" fillId="27" borderId="288" xfId="3" applyFont="1" applyFill="1" applyBorder="1"/>
    <xf numFmtId="21" fontId="97" fillId="23" borderId="289" xfId="3" applyNumberFormat="1" applyFont="1" applyFill="1" applyBorder="1" applyAlignment="1" applyProtection="1">
      <alignment horizontal="center" vertical="center"/>
      <protection locked="0"/>
    </xf>
    <xf numFmtId="0" fontId="98" fillId="23" borderId="290" xfId="3" applyFont="1" applyFill="1" applyBorder="1" applyProtection="1">
      <protection locked="0"/>
    </xf>
    <xf numFmtId="0" fontId="98" fillId="23" borderId="288" xfId="3" applyFont="1" applyFill="1" applyBorder="1" applyProtection="1">
      <protection locked="0"/>
    </xf>
    <xf numFmtId="0" fontId="97" fillId="23" borderId="289" xfId="3" applyFont="1" applyFill="1" applyBorder="1" applyAlignment="1" applyProtection="1">
      <alignment horizontal="center" vertical="center"/>
      <protection locked="0"/>
    </xf>
    <xf numFmtId="0" fontId="65" fillId="0" borderId="299" xfId="3" applyFont="1" applyBorder="1" applyAlignment="1">
      <alignment horizontal="center"/>
    </xf>
    <xf numFmtId="0" fontId="88" fillId="0" borderId="300" xfId="3" applyFont="1" applyBorder="1"/>
    <xf numFmtId="0" fontId="88" fillId="0" borderId="301" xfId="3" applyFont="1" applyBorder="1"/>
    <xf numFmtId="0" fontId="65" fillId="0" borderId="303" xfId="3" applyFont="1" applyBorder="1" applyAlignment="1">
      <alignment horizontal="center"/>
    </xf>
    <xf numFmtId="0" fontId="88" fillId="0" borderId="304" xfId="3" applyFont="1" applyBorder="1"/>
    <xf numFmtId="0" fontId="88" fillId="0" borderId="305" xfId="3" applyFont="1" applyBorder="1"/>
    <xf numFmtId="225" fontId="97" fillId="23" borderId="289" xfId="3" applyNumberFormat="1" applyFont="1" applyFill="1" applyBorder="1" applyAlignment="1" applyProtection="1">
      <alignment horizontal="center" vertical="center"/>
      <protection locked="0"/>
    </xf>
    <xf numFmtId="225" fontId="97" fillId="23" borderId="290" xfId="3" applyNumberFormat="1" applyFont="1" applyFill="1" applyBorder="1" applyAlignment="1" applyProtection="1">
      <alignment horizontal="center" vertical="center"/>
      <protection locked="0"/>
    </xf>
    <xf numFmtId="225" fontId="97" fillId="23" borderId="288" xfId="3" applyNumberFormat="1" applyFont="1" applyFill="1" applyBorder="1" applyAlignment="1" applyProtection="1">
      <alignment horizontal="center" vertical="center"/>
      <protection locked="0"/>
    </xf>
    <xf numFmtId="0" fontId="65" fillId="0" borderId="295" xfId="3" applyFont="1" applyBorder="1" applyAlignment="1">
      <alignment horizontal="center"/>
    </xf>
    <xf numFmtId="0" fontId="88" fillId="0" borderId="296" xfId="3" applyFont="1" applyBorder="1"/>
    <xf numFmtId="0" fontId="88" fillId="0" borderId="297" xfId="3" applyFont="1" applyBorder="1"/>
  </cellXfs>
  <cellStyles count="5">
    <cellStyle name="Hyperlink" xfId="1" builtinId="8"/>
    <cellStyle name="Hyperlink 2" xfId="4"/>
    <cellStyle name="Hyperlink_DanielsTables2-9h-01" xfId="2"/>
    <cellStyle name="Normal" xfId="0" builtinId="0"/>
    <cellStyle name="Normal 2" xfId="3"/>
  </cellStyles>
  <dxfs count="30">
    <dxf>
      <font>
        <b/>
        <i val="0"/>
      </font>
      <fill>
        <patternFill>
          <bgColor theme="2" tint="-9.9948118533890809E-2"/>
        </patternFill>
      </fill>
    </dxf>
    <dxf>
      <font>
        <b/>
        <i val="0"/>
        <color auto="1"/>
      </font>
      <fill>
        <patternFill>
          <bgColor theme="2" tint="-9.9948118533890809E-2"/>
        </patternFill>
      </fill>
    </dxf>
    <dxf>
      <font>
        <b/>
        <i val="0"/>
        <color auto="1"/>
      </font>
      <fill>
        <patternFill>
          <bgColor theme="2" tint="-9.9948118533890809E-2"/>
        </patternFill>
      </fill>
    </dxf>
    <dxf>
      <font>
        <b/>
        <i val="0"/>
        <color rgb="FFC00000"/>
      </font>
      <fill>
        <patternFill>
          <bgColor rgb="FFFFFF00"/>
        </patternFill>
      </fill>
    </dxf>
    <dxf>
      <font>
        <color rgb="FFFF0000"/>
      </font>
    </dxf>
    <dxf>
      <font>
        <condense val="0"/>
        <extend val="0"/>
        <color indexed="10"/>
      </font>
    </dxf>
    <dxf>
      <font>
        <b/>
        <i val="0"/>
        <color rgb="FFC00000"/>
      </font>
      <fill>
        <patternFill>
          <bgColor rgb="FFFFFF00"/>
        </patternFill>
      </fill>
    </dxf>
    <dxf>
      <font>
        <condense val="0"/>
        <extend val="0"/>
        <color indexed="10"/>
      </font>
    </dxf>
    <dxf>
      <font>
        <b/>
        <i val="0"/>
        <color auto="1"/>
      </font>
      <fill>
        <patternFill>
          <bgColor theme="2" tint="-9.9948118533890809E-2"/>
        </patternFill>
      </fill>
    </dxf>
    <dxf>
      <font>
        <b/>
        <i val="0"/>
        <color rgb="FFC00000"/>
      </font>
      <fill>
        <patternFill>
          <bgColor rgb="FFFFFF00"/>
        </patternFill>
      </fill>
    </dxf>
    <dxf>
      <font>
        <condense val="0"/>
        <extend val="0"/>
        <color indexed="10"/>
      </font>
    </dxf>
    <dxf>
      <font>
        <condense val="0"/>
        <extend val="0"/>
        <color indexed="22"/>
      </font>
    </dxf>
    <dxf>
      <font>
        <condense val="0"/>
        <extend val="0"/>
        <color indexed="55"/>
      </font>
      <fill>
        <patternFill>
          <bgColor indexed="55"/>
        </patternFill>
      </fill>
    </dxf>
    <dxf>
      <font>
        <condense val="0"/>
        <extend val="0"/>
        <color indexed="55"/>
      </font>
      <fill>
        <patternFill>
          <bgColor indexed="55"/>
        </patternFill>
      </fill>
    </dxf>
    <dxf>
      <font>
        <color indexed="55"/>
      </font>
      <fill>
        <patternFill>
          <bgColor indexed="55"/>
        </patternFill>
      </fill>
    </dxf>
    <dxf>
      <font>
        <color indexed="55"/>
      </font>
      <fill>
        <patternFill>
          <bgColor indexed="55"/>
        </patternFill>
      </fill>
    </dxf>
    <dxf>
      <font>
        <condense val="0"/>
        <extend val="0"/>
        <color indexed="55"/>
      </font>
    </dxf>
    <dxf>
      <font>
        <condense val="0"/>
        <extend val="0"/>
        <color indexed="55"/>
      </font>
      <fill>
        <patternFill>
          <bgColor indexed="55"/>
        </patternFill>
      </fill>
    </dxf>
    <dxf>
      <font>
        <condense val="0"/>
        <extend val="0"/>
        <color indexed="55"/>
      </font>
      <fill>
        <patternFill>
          <bgColor indexed="55"/>
        </patternFill>
      </fill>
    </dxf>
    <dxf>
      <font>
        <color indexed="55"/>
      </font>
      <fill>
        <patternFill>
          <bgColor indexed="55"/>
        </patternFill>
      </fill>
    </dxf>
    <dxf>
      <font>
        <color indexed="55"/>
      </font>
      <fill>
        <patternFill>
          <bgColor indexed="55"/>
        </patternFill>
      </fill>
    </dxf>
    <dxf>
      <font>
        <condense val="0"/>
        <extend val="0"/>
        <color indexed="10"/>
      </font>
    </dxf>
    <dxf>
      <font>
        <color rgb="FFFF0000"/>
      </font>
    </dxf>
    <dxf>
      <font>
        <condense val="0"/>
        <extend val="0"/>
        <color indexed="10"/>
      </font>
    </dxf>
    <dxf>
      <font>
        <condense val="0"/>
        <extend val="0"/>
        <color indexed="10"/>
      </font>
    </dxf>
    <dxf>
      <font>
        <b val="0"/>
        <i val="0"/>
        <strike val="0"/>
        <condense val="0"/>
        <extend val="0"/>
        <color indexed="10"/>
      </font>
      <fill>
        <patternFill patternType="solid">
          <fgColor indexed="64"/>
          <bgColor indexed="26"/>
        </patternFill>
      </fill>
    </dxf>
    <dxf>
      <font>
        <b/>
        <i val="0"/>
        <condense val="0"/>
        <extend val="0"/>
        <color indexed="10"/>
      </font>
      <fill>
        <patternFill>
          <bgColor indexed="13"/>
        </patternFill>
      </fill>
    </dxf>
    <dxf>
      <font>
        <b/>
        <i val="0"/>
        <condense val="0"/>
        <extend val="0"/>
      </font>
    </dxf>
    <dxf>
      <font>
        <b/>
        <i val="0"/>
        <condense val="0"/>
        <extend val="0"/>
      </font>
    </dxf>
    <dxf>
      <font>
        <condense val="0"/>
        <extend val="0"/>
        <color indexed="22"/>
      </font>
    </dxf>
  </dxfs>
  <tableStyles count="0" defaultTableStyle="TableStyleMedium2" defaultPivotStyle="PivotStyleLight16"/>
  <colors>
    <mruColors>
      <color rgb="FFCCCCFF"/>
      <color rgb="FFCC9900"/>
      <color rgb="FFD5BE83"/>
      <color rgb="FFFFCC66"/>
      <color rgb="FF000000"/>
      <color rgb="FFBF8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L$5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C$4" lockText="1"/>
</file>

<file path=xl/ctrlProps/ctrlProp8.xml><?xml version="1.0" encoding="utf-8"?>
<formControlPr xmlns="http://schemas.microsoft.com/office/spreadsheetml/2009/9/main" objectType="CheckBox" fmlaLink="$B$4" lockText="1"/>
</file>

<file path=xl/ctrlProps/ctrlProp9.xml><?xml version="1.0" encoding="utf-8"?>
<formControlPr xmlns="http://schemas.microsoft.com/office/spreadsheetml/2009/9/main" objectType="CheckBox" checked="Checked" fmlaLink="$L$69" lockText="1"/>
</file>

<file path=xl/ctrlProps/ctrlProp10.xml><?xml version="1.0" encoding="utf-8"?>
<formControlPr xmlns="http://schemas.microsoft.com/office/spreadsheetml/2009/9/main" objectType="CheckBox" fmlaLink="$L$47" lockText="1"/>
</file>

<file path=xl/ctrlProps/ctrlProp11.xml><?xml version="1.0" encoding="utf-8"?>
<formControlPr xmlns="http://schemas.microsoft.com/office/spreadsheetml/2009/9/main" objectType="CheckBox" checked="Checked" fmlaLink="$P$70" lockText="1"/>
</file>

<file path=xl/ctrlProps/ctrlProp12.xml><?xml version="1.0" encoding="utf-8"?>
<formControlPr xmlns="http://schemas.microsoft.com/office/spreadsheetml/2009/9/main" objectType="CheckBox" checked="Checked" fmlaLink="$Q$49" lockText="1"/>
</file>

<file path=xl/ctrlProps/ctrlProp13.xml><?xml version="1.0" encoding="utf-8"?>
<formControlPr xmlns="http://schemas.microsoft.com/office/spreadsheetml/2009/9/main" objectType="CheckBox" checked="Checked" fmlaLink="$C$4" lockText="1"/>
</file>

<file path=xl/ctrlProps/ctrlProp14.xml><?xml version="1.0" encoding="utf-8"?>
<formControlPr xmlns="http://schemas.microsoft.com/office/spreadsheetml/2009/9/main" objectType="CheckBox" fmlaLink="$L$82"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R$85" lockText="1"/>
</file>

<file path=xl/ctrlProps/ctrlProp17.xml><?xml version="1.0" encoding="utf-8"?>
<formControlPr xmlns="http://schemas.microsoft.com/office/spreadsheetml/2009/9/main" objectType="CheckBox" fmlaLink="$N$96" lockText="1" noThreeD="1"/>
</file>

<file path=xl/ctrlProps/ctrlProp18.xml><?xml version="1.0" encoding="utf-8"?>
<formControlPr xmlns="http://schemas.microsoft.com/office/spreadsheetml/2009/9/main" objectType="CheckBox" checked="Checked" fmlaLink="$M$100" lockText="1" noThreeD="1"/>
</file>

<file path=xl/ctrlProps/ctrlProp19.xml><?xml version="1.0" encoding="utf-8"?>
<formControlPr xmlns="http://schemas.microsoft.com/office/spreadsheetml/2009/9/main" objectType="CheckBox" fmlaLink="$M$102" lockText="1" noThreeD="1"/>
</file>

<file path=xl/ctrlProps/ctrlProp20.xml><?xml version="1.0" encoding="utf-8"?>
<formControlPr xmlns="http://schemas.microsoft.com/office/spreadsheetml/2009/9/main" objectType="CheckBox" checked="Checked" fmlaLink="$M$101"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L$63" lockText="1"/>
</file>

<file path=xl/ctrlProps/ctrlProp23.xml><?xml version="1.0" encoding="utf-8"?>
<formControlPr xmlns="http://schemas.microsoft.com/office/spreadsheetml/2009/9/main" objectType="CheckBox" checked="Checked" fmlaLink="$H$67" lockText="1"/>
</file>

<file path=xl/ctrlProps/ctrlProp24.xml><?xml version="1.0" encoding="utf-8"?>
<formControlPr xmlns="http://schemas.microsoft.com/office/spreadsheetml/2009/9/main" objectType="CheckBox" fmlaLink="$L$75" lockText="1"/>
</file>

<file path=xl/ctrlProps/ctrlProp25.xml><?xml version="1.0" encoding="utf-8"?>
<formControlPr xmlns="http://schemas.microsoft.com/office/spreadsheetml/2009/9/main" objectType="CheckBox" fmlaLink="$D$73" lockText="1"/>
</file>

<file path=xl/ctrlProps/ctrlProp26.xml><?xml version="1.0" encoding="utf-8"?>
<formControlPr xmlns="http://schemas.microsoft.com/office/spreadsheetml/2009/9/main" objectType="CheckBox" fmlaLink="$J$73" lockText="1"/>
</file>

<file path=xl/ctrlProps/ctrlProp27.xml><?xml version="1.0" encoding="utf-8"?>
<formControlPr xmlns="http://schemas.microsoft.com/office/spreadsheetml/2009/9/main" objectType="CheckBox" checked="Checked" fmlaLink="$D$16" lockText="1"/>
</file>

<file path=xl/ctrlProps/ctrlProp28.xml><?xml version="1.0" encoding="utf-8"?>
<formControlPr xmlns="http://schemas.microsoft.com/office/spreadsheetml/2009/9/main" objectType="CheckBox" fmlaLink="$E$16" lockText="1"/>
</file>

<file path=xl/ctrlProps/ctrlProp29.xml><?xml version="1.0" encoding="utf-8"?>
<formControlPr xmlns="http://schemas.microsoft.com/office/spreadsheetml/2009/9/main" objectType="CheckBox" checked="Checked" fmlaLink="$M$100" lockText="1" noThreeD="1"/>
</file>

<file path=xl/ctrlProps/ctrlProp30.xml><?xml version="1.0" encoding="utf-8"?>
<formControlPr xmlns="http://schemas.microsoft.com/office/spreadsheetml/2009/9/main" objectType="CheckBox" checked="Checked" fmlaLink="$M$101" lockText="1" noThreeD="1"/>
</file>

<file path=xl/ctrlProps/ctrlProp31.xml><?xml version="1.0" encoding="utf-8"?>
<formControlPr xmlns="http://schemas.microsoft.com/office/spreadsheetml/2009/9/main" objectType="CheckBox" fmlaLink="$M$102" lockText="1" noThreeD="1"/>
</file>

<file path=xl/ctrlProps/ctrlProp32.xml><?xml version="1.0" encoding="utf-8"?>
<formControlPr xmlns="http://schemas.microsoft.com/office/spreadsheetml/2009/9/main" objectType="Radio" firstButton="1" fmlaLink="$S$6" lockText="1" noThreeD="1"/>
</file>

<file path=xl/ctrlProps/ctrlProp33.xml><?xml version="1.0" encoding="utf-8"?>
<formControlPr xmlns="http://schemas.microsoft.com/office/spreadsheetml/2009/9/main" objectType="Radio" checked="Checked" lockText="1" noThreeD="1"/>
</file>

<file path=xl/ctrlProps/ctrlProp34.xml><?xml version="1.0" encoding="utf-8"?>
<formControlPr xmlns="http://schemas.microsoft.com/office/spreadsheetml/2009/9/main" objectType="Radio" firstButton="1" fmlaLink="$G$16"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checked="Checked" fmlaLink="$B$100" lockText="1"/>
</file>

<file path=xl/ctrlProps/ctrlProp39.xml><?xml version="1.0" encoding="utf-8"?>
<formControlPr xmlns="http://schemas.microsoft.com/office/spreadsheetml/2009/9/main" objectType="CheckBox" fmlaLink="$L$82"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123825</xdr:colOff>
      <xdr:row>35</xdr:row>
      <xdr:rowOff>0</xdr:rowOff>
    </xdr:from>
    <xdr:ext cx="5581650" cy="3267075"/>
    <xdr:pic>
      <xdr:nvPicPr>
        <xdr:cNvPr id="2" name="image5.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xfrm>
          <a:off x="123825" y="8488680"/>
          <a:ext cx="5581650" cy="326707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9</xdr:col>
      <xdr:colOff>104775</xdr:colOff>
      <xdr:row>6</xdr:row>
      <xdr:rowOff>19050</xdr:rowOff>
    </xdr:from>
    <xdr:ext cx="6191250" cy="3733800"/>
    <xdr:pic>
      <xdr:nvPicPr>
        <xdr:cNvPr id="2" name="image1.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11908155" y="2434590"/>
          <a:ext cx="6191250" cy="3733800"/>
        </a:xfrm>
        <a:prstGeom prst="rect">
          <a:avLst/>
        </a:prstGeom>
        <a:noFill/>
      </xdr:spPr>
    </xdr:pic>
    <xdr:clientData fLocksWithSheet="0"/>
  </xdr:oneCellAnchor>
  <xdr:oneCellAnchor>
    <xdr:from>
      <xdr:col>9</xdr:col>
      <xdr:colOff>85725</xdr:colOff>
      <xdr:row>12</xdr:row>
      <xdr:rowOff>733425</xdr:rowOff>
    </xdr:from>
    <xdr:ext cx="6267450" cy="3933825"/>
    <xdr:pic>
      <xdr:nvPicPr>
        <xdr:cNvPr id="3" name="image2.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xfrm>
          <a:off x="11889105" y="6014085"/>
          <a:ext cx="6267450" cy="3933825"/>
        </a:xfrm>
        <a:prstGeom prst="rect">
          <a:avLst/>
        </a:prstGeom>
        <a:noFill/>
      </xdr:spPr>
    </xdr:pic>
    <xdr:clientData fLocksWithSheet="0"/>
  </xdr:oneCellAnchor>
  <xdr:oneCellAnchor>
    <xdr:from>
      <xdr:col>9</xdr:col>
      <xdr:colOff>9525</xdr:colOff>
      <xdr:row>21</xdr:row>
      <xdr:rowOff>28575</xdr:rowOff>
    </xdr:from>
    <xdr:ext cx="6238875" cy="4362450"/>
    <xdr:pic>
      <xdr:nvPicPr>
        <xdr:cNvPr id="4" name="image3.png">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3" cstate="print"/>
        <a:stretch>
          <a:fillRect/>
        </a:stretch>
      </xdr:blipFill>
      <xdr:spPr>
        <a:xfrm>
          <a:off x="11812905" y="10003155"/>
          <a:ext cx="6238875" cy="43624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15</xdr:row>
          <xdr:rowOff>19050</xdr:rowOff>
        </xdr:from>
        <xdr:to>
          <xdr:col>3</xdr:col>
          <xdr:colOff>57150</xdr:colOff>
          <xdr:row>15</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542925</xdr:colOff>
          <xdr:row>15</xdr:row>
          <xdr:rowOff>19050</xdr:rowOff>
        </xdr:from>
        <xdr:to>
          <xdr:col>2</xdr:col>
          <xdr:colOff>190500</xdr:colOff>
          <xdr:row>15</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Show 58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51</xdr:row>
          <xdr:rowOff>133350</xdr:rowOff>
        </xdr:from>
        <xdr:to>
          <xdr:col>11</xdr:col>
          <xdr:colOff>533400</xdr:colOff>
          <xdr:row>53</xdr:row>
          <xdr:rowOff>9525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7</xdr:row>
          <xdr:rowOff>47625</xdr:rowOff>
        </xdr:from>
        <xdr:to>
          <xdr:col>1</xdr:col>
          <xdr:colOff>142875</xdr:colOff>
          <xdr:row>8</xdr:row>
          <xdr:rowOff>28575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xdr:row>
          <xdr:rowOff>19050</xdr:rowOff>
        </xdr:from>
        <xdr:to>
          <xdr:col>1</xdr:col>
          <xdr:colOff>142875</xdr:colOff>
          <xdr:row>7</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26</xdr:row>
          <xdr:rowOff>28575</xdr:rowOff>
        </xdr:from>
        <xdr:to>
          <xdr:col>17</xdr:col>
          <xdr:colOff>533400</xdr:colOff>
          <xdr:row>26</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Entries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46</xdr:row>
          <xdr:rowOff>142875</xdr:rowOff>
        </xdr:from>
        <xdr:to>
          <xdr:col>14</xdr:col>
          <xdr:colOff>476250</xdr:colOff>
          <xdr:row>48</xdr:row>
          <xdr:rowOff>19050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2</xdr:row>
          <xdr:rowOff>133350</xdr:rowOff>
        </xdr:from>
        <xdr:to>
          <xdr:col>1</xdr:col>
          <xdr:colOff>609600</xdr:colOff>
          <xdr:row>4</xdr:row>
          <xdr:rowOff>9525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67</xdr:row>
          <xdr:rowOff>133350</xdr:rowOff>
        </xdr:from>
        <xdr:to>
          <xdr:col>11</xdr:col>
          <xdr:colOff>542925</xdr:colOff>
          <xdr:row>69</xdr:row>
          <xdr:rowOff>9525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45</xdr:row>
          <xdr:rowOff>142875</xdr:rowOff>
        </xdr:from>
        <xdr:to>
          <xdr:col>11</xdr:col>
          <xdr:colOff>542925</xdr:colOff>
          <xdr:row>47</xdr:row>
          <xdr:rowOff>19050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xdr:colOff>
          <xdr:row>68</xdr:row>
          <xdr:rowOff>133350</xdr:rowOff>
        </xdr:from>
        <xdr:to>
          <xdr:col>15</xdr:col>
          <xdr:colOff>542925</xdr:colOff>
          <xdr:row>70</xdr:row>
          <xdr:rowOff>9525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523875</xdr:colOff>
          <xdr:row>47</xdr:row>
          <xdr:rowOff>161925</xdr:rowOff>
        </xdr:from>
        <xdr:to>
          <xdr:col>16</xdr:col>
          <xdr:colOff>533400</xdr:colOff>
          <xdr:row>49</xdr:row>
          <xdr:rowOff>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vs 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695325</xdr:colOff>
          <xdr:row>2</xdr:row>
          <xdr:rowOff>133350</xdr:rowOff>
        </xdr:from>
        <xdr:to>
          <xdr:col>2</xdr:col>
          <xdr:colOff>409575</xdr:colOff>
          <xdr:row>4</xdr:row>
          <xdr:rowOff>9525</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80</xdr:row>
          <xdr:rowOff>142875</xdr:rowOff>
        </xdr:from>
        <xdr:to>
          <xdr:col>11</xdr:col>
          <xdr:colOff>542925</xdr:colOff>
          <xdr:row>82</xdr:row>
          <xdr:rowOff>19050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106</xdr:row>
          <xdr:rowOff>9525</xdr:rowOff>
        </xdr:from>
        <xdr:to>
          <xdr:col>11</xdr:col>
          <xdr:colOff>523875</xdr:colOff>
          <xdr:row>106</xdr:row>
          <xdr:rowOff>161925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xdr:colOff>
          <xdr:row>83</xdr:row>
          <xdr:rowOff>142875</xdr:rowOff>
        </xdr:from>
        <xdr:to>
          <xdr:col>17</xdr:col>
          <xdr:colOff>533400</xdr:colOff>
          <xdr:row>85</xdr:row>
          <xdr:rowOff>19050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94</xdr:row>
          <xdr:rowOff>142875</xdr:rowOff>
        </xdr:from>
        <xdr:to>
          <xdr:col>14</xdr:col>
          <xdr:colOff>447675</xdr:colOff>
          <xdr:row>96</xdr:row>
          <xdr:rowOff>19050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Add Rather Than Subtract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98</xdr:row>
          <xdr:rowOff>142875</xdr:rowOff>
        </xdr:from>
        <xdr:to>
          <xdr:col>13</xdr:col>
          <xdr:colOff>333375</xdr:colOff>
          <xdr:row>100</xdr:row>
          <xdr:rowOff>19050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Age Grade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100</xdr:row>
          <xdr:rowOff>142875</xdr:rowOff>
        </xdr:from>
        <xdr:to>
          <xdr:col>13</xdr:col>
          <xdr:colOff>333375</xdr:colOff>
          <xdr:row>102</xdr:row>
          <xdr:rowOff>19050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Temp Adjustment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99</xdr:row>
          <xdr:rowOff>142875</xdr:rowOff>
        </xdr:from>
        <xdr:to>
          <xdr:col>13</xdr:col>
          <xdr:colOff>419100</xdr:colOff>
          <xdr:row>101</xdr:row>
          <xdr:rowOff>19050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Weight Adjustment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74</xdr:row>
          <xdr:rowOff>161925</xdr:rowOff>
        </xdr:from>
        <xdr:to>
          <xdr:col>13</xdr:col>
          <xdr:colOff>438150</xdr:colOff>
          <xdr:row>75</xdr:row>
          <xdr:rowOff>152400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Restore Entry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61</xdr:row>
          <xdr:rowOff>142875</xdr:rowOff>
        </xdr:from>
        <xdr:to>
          <xdr:col>11</xdr:col>
          <xdr:colOff>533400</xdr:colOff>
          <xdr:row>63</xdr:row>
          <xdr:rowOff>19050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65</xdr:row>
          <xdr:rowOff>133350</xdr:rowOff>
        </xdr:from>
        <xdr:to>
          <xdr:col>7</xdr:col>
          <xdr:colOff>466725</xdr:colOff>
          <xdr:row>67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3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Calc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73</xdr:row>
          <xdr:rowOff>133350</xdr:rowOff>
        </xdr:from>
        <xdr:to>
          <xdr:col>11</xdr:col>
          <xdr:colOff>542925</xdr:colOff>
          <xdr:row>75</xdr:row>
          <xdr:rowOff>9525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71</xdr:row>
          <xdr:rowOff>161925</xdr:rowOff>
        </xdr:from>
        <xdr:to>
          <xdr:col>4</xdr:col>
          <xdr:colOff>571500</xdr:colOff>
          <xdr:row>72</xdr:row>
          <xdr:rowOff>161925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Use Manual  LTHR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71</xdr:row>
          <xdr:rowOff>161925</xdr:rowOff>
        </xdr:from>
        <xdr:to>
          <xdr:col>10</xdr:col>
          <xdr:colOff>552450</xdr:colOff>
          <xdr:row>72</xdr:row>
          <xdr:rowOff>161925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Use Manual  FTPa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15</xdr:row>
          <xdr:rowOff>9525</xdr:rowOff>
        </xdr:from>
        <xdr:to>
          <xdr:col>4</xdr:col>
          <xdr:colOff>95250</xdr:colOff>
          <xdr:row>15</xdr:row>
          <xdr:rowOff>142875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15</xdr:row>
          <xdr:rowOff>9525</xdr:rowOff>
        </xdr:from>
        <xdr:to>
          <xdr:col>5</xdr:col>
          <xdr:colOff>9525</xdr:colOff>
          <xdr:row>15</xdr:row>
          <xdr:rowOff>142875</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KM x2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79</xdr:row>
          <xdr:rowOff>152400</xdr:rowOff>
        </xdr:from>
        <xdr:to>
          <xdr:col>14</xdr:col>
          <xdr:colOff>428625</xdr:colOff>
          <xdr:row>81</xdr:row>
          <xdr:rowOff>19050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84</xdr:row>
          <xdr:rowOff>152400</xdr:rowOff>
        </xdr:from>
        <xdr:to>
          <xdr:col>14</xdr:col>
          <xdr:colOff>428625</xdr:colOff>
          <xdr:row>86</xdr:row>
          <xdr:rowOff>19050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3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91</xdr:row>
          <xdr:rowOff>152400</xdr:rowOff>
        </xdr:from>
        <xdr:to>
          <xdr:col>14</xdr:col>
          <xdr:colOff>428625</xdr:colOff>
          <xdr:row>93</xdr:row>
          <xdr:rowOff>19050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6</xdr:row>
          <xdr:rowOff>9525</xdr:rowOff>
        </xdr:from>
        <xdr:to>
          <xdr:col>18</xdr:col>
          <xdr:colOff>590550</xdr:colOff>
          <xdr:row>6</xdr:row>
          <xdr:rowOff>152400</xdr:rowOff>
        </xdr:to>
        <xdr:sp macro="" textlink="">
          <xdr:nvSpPr>
            <xdr:cNvPr id="2080" name="Option Button 32"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5</xdr:row>
          <xdr:rowOff>9525</xdr:rowOff>
        </xdr:from>
        <xdr:to>
          <xdr:col>18</xdr:col>
          <xdr:colOff>590550</xdr:colOff>
          <xdr:row>5</xdr:row>
          <xdr:rowOff>161925</xdr:rowOff>
        </xdr:to>
        <xdr:sp macro="" textlink="">
          <xdr:nvSpPr>
            <xdr:cNvPr id="2081" name="Option Button 33"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KM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15</xdr:row>
          <xdr:rowOff>0</xdr:rowOff>
        </xdr:from>
        <xdr:to>
          <xdr:col>5</xdr:col>
          <xdr:colOff>523875</xdr:colOff>
          <xdr:row>15</xdr:row>
          <xdr:rowOff>161925</xdr:rowOff>
        </xdr:to>
        <xdr:sp macro="" textlink="">
          <xdr:nvSpPr>
            <xdr:cNvPr id="2082" name="Option Button 34"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Daniels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15</xdr:row>
          <xdr:rowOff>0</xdr:rowOff>
        </xdr:from>
        <xdr:to>
          <xdr:col>6</xdr:col>
          <xdr:colOff>523875</xdr:colOff>
          <xdr:row>15</xdr:row>
          <xdr:rowOff>161925</xdr:rowOff>
        </xdr:to>
        <xdr:sp macro="" textlink="">
          <xdr:nvSpPr>
            <xdr:cNvPr id="2083" name="Option Button 35"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Riegel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4</xdr:row>
          <xdr:rowOff>133350</xdr:rowOff>
        </xdr:from>
        <xdr:to>
          <xdr:col>19</xdr:col>
          <xdr:colOff>38100</xdr:colOff>
          <xdr:row>7</xdr:row>
          <xdr:rowOff>9525</xdr:rowOff>
        </xdr:to>
        <xdr:sp macro="" textlink="">
          <xdr:nvSpPr>
            <xdr:cNvPr id="2084" name="Group Box 36" hidden="1">
              <a:extLst>
                <a:ext uri="{63B3BB69-23CF-44E3-9099-C40C66FF867C}">
                  <a14:compatExt spid="_x0000_s2084"/>
                </a:ext>
                <a:ext uri="{FF2B5EF4-FFF2-40B4-BE49-F238E27FC236}">
                  <a16:creationId xmlns:a16="http://schemas.microsoft.com/office/drawing/2014/main" id="{00000000-0008-0000-0300-00002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60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90</xdr:row>
          <xdr:rowOff>28575</xdr:rowOff>
        </xdr:from>
        <xdr:to>
          <xdr:col>13</xdr:col>
          <xdr:colOff>533400</xdr:colOff>
          <xdr:row>91</xdr:row>
          <xdr:rowOff>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300-00003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Mid Dist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99</xdr:row>
          <xdr:rowOff>9525</xdr:rowOff>
        </xdr:from>
        <xdr:to>
          <xdr:col>1</xdr:col>
          <xdr:colOff>504825</xdr:colOff>
          <xdr:row>100</xdr:row>
          <xdr:rowOff>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3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80</xdr:row>
          <xdr:rowOff>142875</xdr:rowOff>
        </xdr:from>
        <xdr:to>
          <xdr:col>11</xdr:col>
          <xdr:colOff>542925</xdr:colOff>
          <xdr:row>82</xdr:row>
          <xdr:rowOff>19050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3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Metric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90</xdr:row>
          <xdr:rowOff>28575</xdr:rowOff>
        </xdr:from>
        <xdr:to>
          <xdr:col>14</xdr:col>
          <xdr:colOff>504825</xdr:colOff>
          <xdr:row>91</xdr:row>
          <xdr:rowOff>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300-000049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Long Dist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90</xdr:row>
          <xdr:rowOff>28575</xdr:rowOff>
        </xdr:from>
        <xdr:to>
          <xdr:col>12</xdr:col>
          <xdr:colOff>561975</xdr:colOff>
          <xdr:row>91</xdr:row>
          <xdr:rowOff>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300-00004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BMI  18.5</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9</xdr:col>
      <xdr:colOff>266700</xdr:colOff>
      <xdr:row>1</xdr:row>
      <xdr:rowOff>38100</xdr:rowOff>
    </xdr:from>
    <xdr:ext cx="5581650" cy="3267075"/>
    <xdr:pic>
      <xdr:nvPicPr>
        <xdr:cNvPr id="2" name="image5.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5394960" y="220980"/>
          <a:ext cx="5581650" cy="3267075"/>
        </a:xfrm>
        <a:prstGeom prst="rect">
          <a:avLst/>
        </a:prstGeom>
        <a:noFill/>
      </xdr:spPr>
    </xdr:pic>
    <xdr:clientData fLocksWithSheet="0"/>
  </xdr:one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ailto:AlanJones@stny.rr.com?cc=herm@electricblues.com&amp;subject=Age%20Factor%20Tables" TargetMode="External"/><Relationship Id="rId13" Type="http://schemas.openxmlformats.org/officeDocument/2006/relationships/hyperlink" Target="http://www.usatf.org/" TargetMode="External"/><Relationship Id="rId3" Type="http://schemas.openxmlformats.org/officeDocument/2006/relationships/hyperlink" Target="http://www.electricblues.com/runpro.html" TargetMode="External"/><Relationship Id="rId7" Type="http://schemas.openxmlformats.org/officeDocument/2006/relationships/hyperlink" Target="http://www.joefrielsblog.com/" TargetMode="External"/><Relationship Id="rId12" Type="http://schemas.openxmlformats.org/officeDocument/2006/relationships/hyperlink" Target="http://www.arrs.net%3e%3cRiegelpete@aol.com" TargetMode="External"/><Relationship Id="rId17" Type="http://schemas.openxmlformats.org/officeDocument/2006/relationships/printerSettings" Target="../printerSettings/printerSettings1.bin"/><Relationship Id="rId2" Type="http://schemas.openxmlformats.org/officeDocument/2006/relationships/hyperlink" Target="http://www.mcmillanrunning.com/training4.htm" TargetMode="External"/><Relationship Id="rId16" Type="http://schemas.openxmlformats.org/officeDocument/2006/relationships/hyperlink" Target="https://cicerunner.wordpress.com/2014/06/01/stillman-running-weight/" TargetMode="External"/><Relationship Id="rId1" Type="http://schemas.openxmlformats.org/officeDocument/2006/relationships/hyperlink" Target="http://www.mcmillanrunning.com/" TargetMode="External"/><Relationship Id="rId6" Type="http://schemas.openxmlformats.org/officeDocument/2006/relationships/hyperlink" Target="http://electricblues.com/html/JoeFrielsQuickGuide.pdf" TargetMode="External"/><Relationship Id="rId11" Type="http://schemas.openxmlformats.org/officeDocument/2006/relationships/hyperlink" Target="https://www.runscore.com/Alan/AgeGrade.html" TargetMode="External"/><Relationship Id="rId5" Type="http://schemas.openxmlformats.org/officeDocument/2006/relationships/hyperlink" Target="http://www.mcmillanrunning.com/" TargetMode="External"/><Relationship Id="rId15" Type="http://schemas.openxmlformats.org/officeDocument/2006/relationships/hyperlink" Target="https://runbundle.com/tools/stillman-weight-calculator" TargetMode="External"/><Relationship Id="rId10" Type="http://schemas.openxmlformats.org/officeDocument/2006/relationships/hyperlink" Target="http://www.world-masters-athletics.org/" TargetMode="External"/><Relationship Id="rId4" Type="http://schemas.openxmlformats.org/officeDocument/2006/relationships/hyperlink" Target="http://www.electricblues.com/runpro.html" TargetMode="External"/><Relationship Id="rId9" Type="http://schemas.openxmlformats.org/officeDocument/2006/relationships/hyperlink" Target="http://www.iaaf.org/" TargetMode="External"/><Relationship Id="rId14" Type="http://schemas.openxmlformats.org/officeDocument/2006/relationships/hyperlink" Target="http://usatfmasters.org/wp/2018/08/age-gradin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vmlDrawing" Target="../drawings/vmlDrawing1.vml"/><Relationship Id="rId18" Type="http://schemas.openxmlformats.org/officeDocument/2006/relationships/ctrlProp" Target="../ctrlProps/ctrlProp5.xml"/><Relationship Id="rId26" Type="http://schemas.openxmlformats.org/officeDocument/2006/relationships/ctrlProp" Target="../ctrlProps/ctrlProp13.xml"/><Relationship Id="rId39" Type="http://schemas.openxmlformats.org/officeDocument/2006/relationships/ctrlProp" Target="../ctrlProps/ctrlProp26.xml"/><Relationship Id="rId21" Type="http://schemas.openxmlformats.org/officeDocument/2006/relationships/ctrlProp" Target="../ctrlProps/ctrlProp8.xml"/><Relationship Id="rId34" Type="http://schemas.openxmlformats.org/officeDocument/2006/relationships/ctrlProp" Target="../ctrlProps/ctrlProp21.xml"/><Relationship Id="rId42" Type="http://schemas.openxmlformats.org/officeDocument/2006/relationships/ctrlProp" Target="../ctrlProps/ctrlProp29.xml"/><Relationship Id="rId47" Type="http://schemas.openxmlformats.org/officeDocument/2006/relationships/ctrlProp" Target="../ctrlProps/ctrlProp34.xml"/><Relationship Id="rId50" Type="http://schemas.openxmlformats.org/officeDocument/2006/relationships/ctrlProp" Target="../ctrlProps/ctrlProp37.xml"/><Relationship Id="rId55" Type="http://schemas.openxmlformats.org/officeDocument/2006/relationships/comments" Target="../comments1.xml"/><Relationship Id="rId7" Type="http://schemas.openxmlformats.org/officeDocument/2006/relationships/hyperlink" Target="http://arrs.run/" TargetMode="External"/><Relationship Id="rId12" Type="http://schemas.openxmlformats.org/officeDocument/2006/relationships/drawing" Target="../drawings/drawing3.xml"/><Relationship Id="rId17" Type="http://schemas.openxmlformats.org/officeDocument/2006/relationships/ctrlProp" Target="../ctrlProps/ctrlProp4.xml"/><Relationship Id="rId25" Type="http://schemas.openxmlformats.org/officeDocument/2006/relationships/ctrlProp" Target="../ctrlProps/ctrlProp12.xml"/><Relationship Id="rId33" Type="http://schemas.openxmlformats.org/officeDocument/2006/relationships/ctrlProp" Target="../ctrlProps/ctrlProp20.xml"/><Relationship Id="rId38" Type="http://schemas.openxmlformats.org/officeDocument/2006/relationships/ctrlProp" Target="../ctrlProps/ctrlProp25.xml"/><Relationship Id="rId46" Type="http://schemas.openxmlformats.org/officeDocument/2006/relationships/ctrlProp" Target="../ctrlProps/ctrlProp33.xml"/><Relationship Id="rId2" Type="http://schemas.openxmlformats.org/officeDocument/2006/relationships/hyperlink" Target="http://www.joefrielsblog.com/" TargetMode="External"/><Relationship Id="rId16" Type="http://schemas.openxmlformats.org/officeDocument/2006/relationships/ctrlProp" Target="../ctrlProps/ctrlProp3.xml"/><Relationship Id="rId20" Type="http://schemas.openxmlformats.org/officeDocument/2006/relationships/ctrlProp" Target="../ctrlProps/ctrlProp7.xml"/><Relationship Id="rId29" Type="http://schemas.openxmlformats.org/officeDocument/2006/relationships/ctrlProp" Target="../ctrlProps/ctrlProp16.xml"/><Relationship Id="rId41" Type="http://schemas.openxmlformats.org/officeDocument/2006/relationships/ctrlProp" Target="../ctrlProps/ctrlProp28.xml"/><Relationship Id="rId54" Type="http://schemas.openxmlformats.org/officeDocument/2006/relationships/ctrlProp" Target="../ctrlProps/ctrlProp41.xml"/><Relationship Id="rId1" Type="http://schemas.openxmlformats.org/officeDocument/2006/relationships/hyperlink" Target="http://www.mcmillanrunning.com/mcmillanrunningcalculator.htm" TargetMode="External"/><Relationship Id="rId6" Type="http://schemas.openxmlformats.org/officeDocument/2006/relationships/hyperlink" Target="https://www.runscore.com/Alan/AgeGrade.html" TargetMode="External"/><Relationship Id="rId11" Type="http://schemas.openxmlformats.org/officeDocument/2006/relationships/printerSettings" Target="../printerSettings/printerSettings4.bin"/><Relationship Id="rId24" Type="http://schemas.openxmlformats.org/officeDocument/2006/relationships/ctrlProp" Target="../ctrlProps/ctrlProp11.xml"/><Relationship Id="rId32" Type="http://schemas.openxmlformats.org/officeDocument/2006/relationships/ctrlProp" Target="../ctrlProps/ctrlProp19.xml"/><Relationship Id="rId37" Type="http://schemas.openxmlformats.org/officeDocument/2006/relationships/ctrlProp" Target="../ctrlProps/ctrlProp24.xml"/><Relationship Id="rId40" Type="http://schemas.openxmlformats.org/officeDocument/2006/relationships/ctrlProp" Target="../ctrlProps/ctrlProp27.xml"/><Relationship Id="rId45" Type="http://schemas.openxmlformats.org/officeDocument/2006/relationships/ctrlProp" Target="../ctrlProps/ctrlProp32.xml"/><Relationship Id="rId53" Type="http://schemas.openxmlformats.org/officeDocument/2006/relationships/ctrlProp" Target="../ctrlProps/ctrlProp40.xml"/><Relationship Id="rId5" Type="http://schemas.openxmlformats.org/officeDocument/2006/relationships/hyperlink" Target="http://www.iaaf.org/statistics/records/index.html" TargetMode="External"/><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36" Type="http://schemas.openxmlformats.org/officeDocument/2006/relationships/ctrlProp" Target="../ctrlProps/ctrlProp23.xml"/><Relationship Id="rId49" Type="http://schemas.openxmlformats.org/officeDocument/2006/relationships/ctrlProp" Target="../ctrlProps/ctrlProp36.xml"/><Relationship Id="rId10" Type="http://schemas.openxmlformats.org/officeDocument/2006/relationships/hyperlink" Target="http://www.mcmillanrunning.com/" TargetMode="External"/><Relationship Id="rId19" Type="http://schemas.openxmlformats.org/officeDocument/2006/relationships/ctrlProp" Target="../ctrlProps/ctrlProp6.xml"/><Relationship Id="rId31" Type="http://schemas.openxmlformats.org/officeDocument/2006/relationships/ctrlProp" Target="../ctrlProps/ctrlProp18.xml"/><Relationship Id="rId44" Type="http://schemas.openxmlformats.org/officeDocument/2006/relationships/ctrlProp" Target="../ctrlProps/ctrlProp31.xml"/><Relationship Id="rId52" Type="http://schemas.openxmlformats.org/officeDocument/2006/relationships/ctrlProp" Target="../ctrlProps/ctrlProp39.xml"/><Relationship Id="rId4" Type="http://schemas.openxmlformats.org/officeDocument/2006/relationships/hyperlink" Target="https://www.runscore.com/Alan/AgeGrade.html" TargetMode="External"/><Relationship Id="rId9" Type="http://schemas.openxmlformats.org/officeDocument/2006/relationships/hyperlink" Target="https://vdoto2.com/" TargetMode="External"/><Relationship Id="rId14" Type="http://schemas.openxmlformats.org/officeDocument/2006/relationships/ctrlProp" Target="../ctrlProps/ctrlProp1.xml"/><Relationship Id="rId22" Type="http://schemas.openxmlformats.org/officeDocument/2006/relationships/ctrlProp" Target="../ctrlProps/ctrlProp9.xml"/><Relationship Id="rId27" Type="http://schemas.openxmlformats.org/officeDocument/2006/relationships/ctrlProp" Target="../ctrlProps/ctrlProp14.xml"/><Relationship Id="rId30" Type="http://schemas.openxmlformats.org/officeDocument/2006/relationships/ctrlProp" Target="../ctrlProps/ctrlProp17.xml"/><Relationship Id="rId35" Type="http://schemas.openxmlformats.org/officeDocument/2006/relationships/ctrlProp" Target="../ctrlProps/ctrlProp22.xml"/><Relationship Id="rId43" Type="http://schemas.openxmlformats.org/officeDocument/2006/relationships/ctrlProp" Target="../ctrlProps/ctrlProp30.xml"/><Relationship Id="rId48" Type="http://schemas.openxmlformats.org/officeDocument/2006/relationships/ctrlProp" Target="../ctrlProps/ctrlProp35.xml"/><Relationship Id="rId8" Type="http://schemas.openxmlformats.org/officeDocument/2006/relationships/hyperlink" Target="http://www.runsmartproject.com/" TargetMode="External"/><Relationship Id="rId51" Type="http://schemas.openxmlformats.org/officeDocument/2006/relationships/ctrlProp" Target="../ctrlProps/ctrlProp38.xml"/><Relationship Id="rId3" Type="http://schemas.openxmlformats.org/officeDocument/2006/relationships/hyperlink" Target="https://www.runscore.com/Alan/AgeGrade.html"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249"/>
  <sheetViews>
    <sheetView showGridLines="0" workbookViewId="0">
      <selection activeCell="G6" sqref="G6"/>
    </sheetView>
  </sheetViews>
  <sheetFormatPr defaultRowHeight="12.75" x14ac:dyDescent="0.2"/>
  <cols>
    <col min="1" max="1" width="0.85546875" customWidth="1"/>
    <col min="15" max="15" width="10.140625" bestFit="1" customWidth="1"/>
    <col min="16" max="17" width="14.42578125" customWidth="1"/>
    <col min="244" max="244" width="0.85546875" customWidth="1"/>
    <col min="259" max="259" width="14.42578125" customWidth="1"/>
    <col min="500" max="500" width="0.85546875" customWidth="1"/>
    <col min="515" max="515" width="14.42578125" customWidth="1"/>
    <col min="756" max="756" width="0.85546875" customWidth="1"/>
    <col min="771" max="771" width="14.42578125" customWidth="1"/>
    <col min="1012" max="1012" width="0.85546875" customWidth="1"/>
    <col min="1027" max="1027" width="14.42578125" customWidth="1"/>
    <col min="1268" max="1268" width="0.85546875" customWidth="1"/>
    <col min="1283" max="1283" width="14.42578125" customWidth="1"/>
    <col min="1524" max="1524" width="0.85546875" customWidth="1"/>
    <col min="1539" max="1539" width="14.42578125" customWidth="1"/>
    <col min="1780" max="1780" width="0.85546875" customWidth="1"/>
    <col min="1795" max="1795" width="14.42578125" customWidth="1"/>
    <col min="2036" max="2036" width="0.85546875" customWidth="1"/>
    <col min="2051" max="2051" width="14.42578125" customWidth="1"/>
    <col min="2292" max="2292" width="0.85546875" customWidth="1"/>
    <col min="2307" max="2307" width="14.42578125" customWidth="1"/>
    <col min="2548" max="2548" width="0.85546875" customWidth="1"/>
    <col min="2563" max="2563" width="14.42578125" customWidth="1"/>
    <col min="2804" max="2804" width="0.85546875" customWidth="1"/>
    <col min="2819" max="2819" width="14.42578125" customWidth="1"/>
    <col min="3060" max="3060" width="0.85546875" customWidth="1"/>
    <col min="3075" max="3075" width="14.42578125" customWidth="1"/>
    <col min="3316" max="3316" width="0.85546875" customWidth="1"/>
    <col min="3331" max="3331" width="14.42578125" customWidth="1"/>
    <col min="3572" max="3572" width="0.85546875" customWidth="1"/>
    <col min="3587" max="3587" width="14.42578125" customWidth="1"/>
    <col min="3828" max="3828" width="0.85546875" customWidth="1"/>
    <col min="3843" max="3843" width="14.42578125" customWidth="1"/>
    <col min="4084" max="4084" width="0.85546875" customWidth="1"/>
    <col min="4099" max="4099" width="14.42578125" customWidth="1"/>
    <col min="4340" max="4340" width="0.85546875" customWidth="1"/>
    <col min="4355" max="4355" width="14.42578125" customWidth="1"/>
    <col min="4596" max="4596" width="0.85546875" customWidth="1"/>
    <col min="4611" max="4611" width="14.42578125" customWidth="1"/>
    <col min="4852" max="4852" width="0.85546875" customWidth="1"/>
    <col min="4867" max="4867" width="14.42578125" customWidth="1"/>
    <col min="5108" max="5108" width="0.85546875" customWidth="1"/>
    <col min="5123" max="5123" width="14.42578125" customWidth="1"/>
    <col min="5364" max="5364" width="0.85546875" customWidth="1"/>
    <col min="5379" max="5379" width="14.42578125" customWidth="1"/>
    <col min="5620" max="5620" width="0.85546875" customWidth="1"/>
    <col min="5635" max="5635" width="14.42578125" customWidth="1"/>
    <col min="5876" max="5876" width="0.85546875" customWidth="1"/>
    <col min="5891" max="5891" width="14.42578125" customWidth="1"/>
    <col min="6132" max="6132" width="0.85546875" customWidth="1"/>
    <col min="6147" max="6147" width="14.42578125" customWidth="1"/>
    <col min="6388" max="6388" width="0.85546875" customWidth="1"/>
    <col min="6403" max="6403" width="14.42578125" customWidth="1"/>
    <col min="6644" max="6644" width="0.85546875" customWidth="1"/>
    <col min="6659" max="6659" width="14.42578125" customWidth="1"/>
    <col min="6900" max="6900" width="0.85546875" customWidth="1"/>
    <col min="6915" max="6915" width="14.42578125" customWidth="1"/>
    <col min="7156" max="7156" width="0.85546875" customWidth="1"/>
    <col min="7171" max="7171" width="14.42578125" customWidth="1"/>
    <col min="7412" max="7412" width="0.85546875" customWidth="1"/>
    <col min="7427" max="7427" width="14.42578125" customWidth="1"/>
    <col min="7668" max="7668" width="0.85546875" customWidth="1"/>
    <col min="7683" max="7683" width="14.42578125" customWidth="1"/>
    <col min="7924" max="7924" width="0.85546875" customWidth="1"/>
    <col min="7939" max="7939" width="14.42578125" customWidth="1"/>
    <col min="8180" max="8180" width="0.85546875" customWidth="1"/>
    <col min="8195" max="8195" width="14.42578125" customWidth="1"/>
    <col min="8436" max="8436" width="0.85546875" customWidth="1"/>
    <col min="8451" max="8451" width="14.42578125" customWidth="1"/>
    <col min="8692" max="8692" width="0.85546875" customWidth="1"/>
    <col min="8707" max="8707" width="14.42578125" customWidth="1"/>
    <col min="8948" max="8948" width="0.85546875" customWidth="1"/>
    <col min="8963" max="8963" width="14.42578125" customWidth="1"/>
    <col min="9204" max="9204" width="0.85546875" customWidth="1"/>
    <col min="9219" max="9219" width="14.42578125" customWidth="1"/>
    <col min="9460" max="9460" width="0.85546875" customWidth="1"/>
    <col min="9475" max="9475" width="14.42578125" customWidth="1"/>
    <col min="9716" max="9716" width="0.85546875" customWidth="1"/>
    <col min="9731" max="9731" width="14.42578125" customWidth="1"/>
    <col min="9972" max="9972" width="0.85546875" customWidth="1"/>
    <col min="9987" max="9987" width="14.42578125" customWidth="1"/>
    <col min="10228" max="10228" width="0.85546875" customWidth="1"/>
    <col min="10243" max="10243" width="14.42578125" customWidth="1"/>
    <col min="10484" max="10484" width="0.85546875" customWidth="1"/>
    <col min="10499" max="10499" width="14.42578125" customWidth="1"/>
    <col min="10740" max="10740" width="0.85546875" customWidth="1"/>
    <col min="10755" max="10755" width="14.42578125" customWidth="1"/>
    <col min="10996" max="10996" width="0.85546875" customWidth="1"/>
    <col min="11011" max="11011" width="14.42578125" customWidth="1"/>
    <col min="11252" max="11252" width="0.85546875" customWidth="1"/>
    <col min="11267" max="11267" width="14.42578125" customWidth="1"/>
    <col min="11508" max="11508" width="0.85546875" customWidth="1"/>
    <col min="11523" max="11523" width="14.42578125" customWidth="1"/>
    <col min="11764" max="11764" width="0.85546875" customWidth="1"/>
    <col min="11779" max="11779" width="14.42578125" customWidth="1"/>
    <col min="12020" max="12020" width="0.85546875" customWidth="1"/>
    <col min="12035" max="12035" width="14.42578125" customWidth="1"/>
    <col min="12276" max="12276" width="0.85546875" customWidth="1"/>
    <col min="12291" max="12291" width="14.42578125" customWidth="1"/>
    <col min="12532" max="12532" width="0.85546875" customWidth="1"/>
    <col min="12547" max="12547" width="14.42578125" customWidth="1"/>
    <col min="12788" max="12788" width="0.85546875" customWidth="1"/>
    <col min="12803" max="12803" width="14.42578125" customWidth="1"/>
    <col min="13044" max="13044" width="0.85546875" customWidth="1"/>
    <col min="13059" max="13059" width="14.42578125" customWidth="1"/>
    <col min="13300" max="13300" width="0.85546875" customWidth="1"/>
    <col min="13315" max="13315" width="14.42578125" customWidth="1"/>
    <col min="13556" max="13556" width="0.85546875" customWidth="1"/>
    <col min="13571" max="13571" width="14.42578125" customWidth="1"/>
    <col min="13812" max="13812" width="0.85546875" customWidth="1"/>
    <col min="13827" max="13827" width="14.42578125" customWidth="1"/>
    <col min="14068" max="14068" width="0.85546875" customWidth="1"/>
    <col min="14083" max="14083" width="14.42578125" customWidth="1"/>
    <col min="14324" max="14324" width="0.85546875" customWidth="1"/>
    <col min="14339" max="14339" width="14.42578125" customWidth="1"/>
    <col min="14580" max="14580" width="0.85546875" customWidth="1"/>
    <col min="14595" max="14595" width="14.42578125" customWidth="1"/>
    <col min="14836" max="14836" width="0.85546875" customWidth="1"/>
    <col min="14851" max="14851" width="14.42578125" customWidth="1"/>
    <col min="15092" max="15092" width="0.85546875" customWidth="1"/>
    <col min="15107" max="15107" width="14.42578125" customWidth="1"/>
    <col min="15348" max="15348" width="0.85546875" customWidth="1"/>
    <col min="15363" max="15363" width="14.42578125" customWidth="1"/>
    <col min="15604" max="15604" width="0.85546875" customWidth="1"/>
    <col min="15619" max="15619" width="14.42578125" customWidth="1"/>
    <col min="15860" max="15860" width="0.85546875" customWidth="1"/>
    <col min="15875" max="15875" width="14.42578125" customWidth="1"/>
    <col min="16116" max="16116" width="0.85546875" customWidth="1"/>
    <col min="16131" max="16131" width="14.42578125" customWidth="1"/>
  </cols>
  <sheetData>
    <row r="1" spans="2:17" ht="6" customHeight="1" thickBot="1" x14ac:dyDescent="0.25"/>
    <row r="2" spans="2:17" ht="15.75" x14ac:dyDescent="0.25">
      <c r="B2" s="618" t="s">
        <v>314</v>
      </c>
      <c r="C2" s="550"/>
      <c r="D2" s="551"/>
      <c r="E2" s="551"/>
      <c r="F2" s="551"/>
      <c r="G2" s="551"/>
      <c r="H2" s="551"/>
      <c r="I2" s="551"/>
      <c r="J2" s="551"/>
      <c r="K2" s="551"/>
      <c r="L2" s="551"/>
      <c r="M2" s="551"/>
      <c r="N2" s="551"/>
      <c r="O2" s="551"/>
      <c r="P2" s="551"/>
      <c r="Q2" s="552"/>
    </row>
    <row r="3" spans="2:17" x14ac:dyDescent="0.2">
      <c r="B3" s="553"/>
      <c r="C3" s="323"/>
      <c r="D3" s="324"/>
      <c r="E3" s="324"/>
      <c r="F3" s="324"/>
      <c r="G3" s="324"/>
      <c r="H3" s="324"/>
      <c r="I3" s="324"/>
      <c r="J3" s="324"/>
      <c r="K3" s="324"/>
      <c r="L3" s="324"/>
      <c r="M3" s="324"/>
      <c r="N3" s="324"/>
      <c r="O3" s="324"/>
      <c r="P3" s="324"/>
      <c r="Q3" s="554"/>
    </row>
    <row r="4" spans="2:17" x14ac:dyDescent="0.2">
      <c r="B4" s="555" t="s">
        <v>207</v>
      </c>
      <c r="C4" s="556"/>
      <c r="D4" s="556"/>
      <c r="E4" s="556"/>
      <c r="F4" s="324"/>
      <c r="G4" s="324"/>
      <c r="H4" s="324"/>
      <c r="I4" s="324"/>
      <c r="J4" s="324"/>
      <c r="K4" s="324"/>
      <c r="L4" s="324"/>
      <c r="M4" s="324"/>
      <c r="N4" s="324"/>
      <c r="O4" s="324"/>
      <c r="P4" s="324"/>
      <c r="Q4" s="554"/>
    </row>
    <row r="5" spans="2:17" x14ac:dyDescent="0.2">
      <c r="B5" s="555" t="s">
        <v>264</v>
      </c>
      <c r="C5" s="556"/>
      <c r="D5" s="556"/>
      <c r="E5" s="556"/>
      <c r="F5" s="324"/>
      <c r="G5" s="324"/>
      <c r="H5" s="324"/>
      <c r="I5" s="324"/>
      <c r="J5" s="324"/>
      <c r="K5" s="324"/>
      <c r="L5" s="324"/>
      <c r="M5" s="324"/>
      <c r="N5" s="324"/>
      <c r="O5" s="324"/>
      <c r="P5" s="324"/>
      <c r="Q5" s="554"/>
    </row>
    <row r="6" spans="2:17" x14ac:dyDescent="0.2">
      <c r="B6" s="555" t="s">
        <v>316</v>
      </c>
      <c r="C6" s="556"/>
      <c r="D6" s="556"/>
      <c r="E6" s="556"/>
      <c r="F6" s="324"/>
      <c r="G6" s="324"/>
      <c r="H6" s="324"/>
      <c r="I6" s="324"/>
      <c r="J6" s="324"/>
      <c r="K6" s="324"/>
      <c r="L6" s="324"/>
      <c r="M6" s="324"/>
      <c r="N6" s="324"/>
      <c r="O6" s="324"/>
      <c r="P6" s="324"/>
      <c r="Q6" s="554"/>
    </row>
    <row r="7" spans="2:17" x14ac:dyDescent="0.2">
      <c r="B7" s="555"/>
      <c r="C7" s="556"/>
      <c r="D7" s="556"/>
      <c r="E7" s="556"/>
      <c r="F7" s="324"/>
      <c r="G7" s="324"/>
      <c r="H7" s="324"/>
      <c r="I7" s="324"/>
      <c r="J7" s="324"/>
      <c r="K7" s="324"/>
      <c r="L7" s="324"/>
      <c r="M7" s="324"/>
      <c r="N7" s="324"/>
      <c r="O7" s="324"/>
      <c r="P7" s="324"/>
      <c r="Q7" s="554"/>
    </row>
    <row r="8" spans="2:17" x14ac:dyDescent="0.2">
      <c r="B8" s="553" t="s">
        <v>265</v>
      </c>
      <c r="C8" s="323"/>
      <c r="D8" s="324"/>
      <c r="E8" s="324"/>
      <c r="F8" s="324"/>
      <c r="G8" s="324"/>
      <c r="H8" s="324"/>
      <c r="I8" s="324"/>
      <c r="J8" s="324"/>
      <c r="K8" s="324"/>
      <c r="L8" s="324"/>
      <c r="M8" s="324"/>
      <c r="N8" s="324"/>
      <c r="O8" s="324"/>
      <c r="P8" s="324"/>
      <c r="Q8" s="554"/>
    </row>
    <row r="9" spans="2:17" x14ac:dyDescent="0.2">
      <c r="B9" s="553" t="s">
        <v>435</v>
      </c>
      <c r="C9" s="323"/>
      <c r="D9" s="324"/>
      <c r="E9" s="324"/>
      <c r="F9" s="324"/>
      <c r="G9" s="324"/>
      <c r="H9" s="324"/>
      <c r="I9" s="324"/>
      <c r="J9" s="324"/>
      <c r="K9" s="324"/>
      <c r="L9" s="324"/>
      <c r="M9" s="324"/>
      <c r="N9" s="324"/>
      <c r="O9" s="324"/>
      <c r="P9" s="324"/>
      <c r="Q9" s="554"/>
    </row>
    <row r="10" spans="2:17" x14ac:dyDescent="0.2">
      <c r="B10" s="553"/>
      <c r="C10" s="323"/>
      <c r="D10" s="324"/>
      <c r="E10" s="324"/>
      <c r="F10" s="324"/>
      <c r="G10" s="324"/>
      <c r="H10" s="324"/>
      <c r="I10" s="324"/>
      <c r="J10" s="324"/>
      <c r="K10" s="324"/>
      <c r="L10" s="324"/>
      <c r="M10" s="324"/>
      <c r="N10" s="324"/>
      <c r="O10" s="324"/>
      <c r="P10" s="324"/>
      <c r="Q10" s="554"/>
    </row>
    <row r="11" spans="2:17" x14ac:dyDescent="0.2">
      <c r="B11" s="553" t="s">
        <v>315</v>
      </c>
      <c r="C11" s="323"/>
      <c r="D11" s="324"/>
      <c r="E11" s="324"/>
      <c r="F11" s="324"/>
      <c r="G11" s="324"/>
      <c r="H11" s="324"/>
      <c r="I11" s="324"/>
      <c r="J11" s="324"/>
      <c r="K11" s="324"/>
      <c r="L11" s="324"/>
      <c r="M11" s="324"/>
      <c r="N11" s="324"/>
      <c r="O11" s="324"/>
      <c r="P11" s="324"/>
      <c r="Q11" s="554"/>
    </row>
    <row r="12" spans="2:17" x14ac:dyDescent="0.2">
      <c r="B12" s="553" t="s">
        <v>378</v>
      </c>
      <c r="C12" s="323"/>
      <c r="D12" s="324"/>
      <c r="E12" s="324"/>
      <c r="F12" s="324"/>
      <c r="G12" s="324"/>
      <c r="H12" s="324"/>
      <c r="I12" s="324"/>
      <c r="J12" s="324"/>
      <c r="K12" s="324"/>
      <c r="L12" s="324"/>
      <c r="M12" s="324"/>
      <c r="N12" s="324"/>
      <c r="O12" s="324"/>
      <c r="P12" s="324"/>
      <c r="Q12" s="554"/>
    </row>
    <row r="13" spans="2:17" x14ac:dyDescent="0.2">
      <c r="B13" s="553"/>
      <c r="C13" s="323"/>
      <c r="D13" s="324"/>
      <c r="E13" s="324"/>
      <c r="F13" s="324"/>
      <c r="G13" s="324"/>
      <c r="H13" s="324"/>
      <c r="I13" s="324"/>
      <c r="J13" s="324"/>
      <c r="K13" s="324"/>
      <c r="L13" s="324"/>
      <c r="M13" s="324"/>
      <c r="N13" s="324"/>
      <c r="O13" s="324"/>
      <c r="P13" s="324"/>
      <c r="Q13" s="554"/>
    </row>
    <row r="14" spans="2:17" x14ac:dyDescent="0.2">
      <c r="B14" s="553" t="s">
        <v>380</v>
      </c>
      <c r="C14" s="323"/>
      <c r="D14" s="324"/>
      <c r="E14" s="324"/>
      <c r="F14" s="324"/>
      <c r="G14" s="324"/>
      <c r="H14" s="324"/>
      <c r="I14" s="324"/>
      <c r="J14" s="324"/>
      <c r="K14" s="324"/>
      <c r="L14" s="324"/>
      <c r="M14" s="324"/>
      <c r="N14" s="324"/>
      <c r="O14" s="324"/>
      <c r="P14" s="324"/>
      <c r="Q14" s="554"/>
    </row>
    <row r="15" spans="2:17" x14ac:dyDescent="0.2">
      <c r="B15" s="553" t="s">
        <v>379</v>
      </c>
      <c r="C15" s="323"/>
      <c r="D15" s="324"/>
      <c r="E15" s="324"/>
      <c r="F15" s="324"/>
      <c r="G15" s="324"/>
      <c r="H15" s="324"/>
      <c r="I15" s="324"/>
      <c r="J15" s="324"/>
      <c r="K15" s="324"/>
      <c r="L15" s="324"/>
      <c r="M15" s="324"/>
      <c r="N15" s="324"/>
      <c r="O15" s="324"/>
      <c r="P15" s="324"/>
      <c r="Q15" s="554"/>
    </row>
    <row r="16" spans="2:17" x14ac:dyDescent="0.2">
      <c r="B16" s="553"/>
      <c r="C16" s="323"/>
      <c r="D16" s="324"/>
      <c r="E16" s="324"/>
      <c r="F16" s="324"/>
      <c r="G16" s="324"/>
      <c r="H16" s="324"/>
      <c r="I16" s="324"/>
      <c r="J16" s="324"/>
      <c r="K16" s="324"/>
      <c r="L16" s="324"/>
      <c r="M16" s="324"/>
      <c r="N16" s="324"/>
      <c r="O16" s="324"/>
      <c r="P16" s="324"/>
      <c r="Q16" s="554"/>
    </row>
    <row r="17" spans="2:17" x14ac:dyDescent="0.2">
      <c r="B17" s="606" t="s">
        <v>366</v>
      </c>
      <c r="C17" s="323"/>
      <c r="D17" s="324"/>
      <c r="E17" s="324"/>
      <c r="F17" s="324"/>
      <c r="G17" s="324"/>
      <c r="H17" s="324"/>
      <c r="I17" s="324"/>
      <c r="J17" s="324"/>
      <c r="K17" s="324"/>
      <c r="L17" s="324"/>
      <c r="M17" s="324"/>
      <c r="N17" s="324"/>
      <c r="O17" s="324"/>
      <c r="P17" s="324"/>
      <c r="Q17" s="554"/>
    </row>
    <row r="18" spans="2:17" x14ac:dyDescent="0.2">
      <c r="B18" s="553" t="s">
        <v>317</v>
      </c>
      <c r="C18" s="323"/>
      <c r="D18" s="324"/>
      <c r="E18" s="324"/>
      <c r="F18" s="324"/>
      <c r="G18" s="324"/>
      <c r="H18" s="324"/>
      <c r="I18" s="324"/>
      <c r="J18" s="324"/>
      <c r="K18" s="324"/>
      <c r="L18" s="324"/>
      <c r="M18" s="324"/>
      <c r="N18" s="324"/>
      <c r="O18" s="324"/>
      <c r="P18" s="324"/>
      <c r="Q18" s="554"/>
    </row>
    <row r="19" spans="2:17" x14ac:dyDescent="0.2">
      <c r="B19" s="553" t="s">
        <v>368</v>
      </c>
      <c r="C19" s="323"/>
      <c r="D19" s="324"/>
      <c r="E19" s="324"/>
      <c r="F19" s="324"/>
      <c r="G19" s="324"/>
      <c r="H19" s="324"/>
      <c r="I19" s="324"/>
      <c r="J19" s="324"/>
      <c r="K19" s="324"/>
      <c r="L19" s="324"/>
      <c r="M19" s="324"/>
      <c r="N19" s="324"/>
      <c r="O19" s="324"/>
      <c r="P19" s="324"/>
      <c r="Q19" s="554"/>
    </row>
    <row r="20" spans="2:17" x14ac:dyDescent="0.2">
      <c r="B20" s="553" t="s">
        <v>369</v>
      </c>
      <c r="C20" s="323"/>
      <c r="D20" s="324"/>
      <c r="E20" s="324"/>
      <c r="F20" s="324"/>
      <c r="G20" s="324"/>
      <c r="H20" s="324"/>
      <c r="I20" s="324"/>
      <c r="J20" s="324"/>
      <c r="K20" s="324"/>
      <c r="L20" s="324"/>
      <c r="M20" s="324"/>
      <c r="N20" s="324"/>
      <c r="O20" s="324"/>
      <c r="P20" s="324"/>
      <c r="Q20" s="554"/>
    </row>
    <row r="21" spans="2:17" x14ac:dyDescent="0.2">
      <c r="B21" s="561"/>
      <c r="C21" s="564"/>
      <c r="D21" s="565"/>
      <c r="E21" s="565"/>
      <c r="F21" s="565"/>
      <c r="G21" s="565"/>
      <c r="H21" s="565"/>
      <c r="I21" s="565"/>
      <c r="J21" s="565"/>
      <c r="K21" s="565"/>
      <c r="L21" s="565"/>
      <c r="M21" s="565"/>
      <c r="N21" s="565"/>
      <c r="O21" s="565"/>
      <c r="P21" s="565"/>
      <c r="Q21" s="566"/>
    </row>
    <row r="22" spans="2:17" x14ac:dyDescent="0.2">
      <c r="B22" s="553"/>
      <c r="C22" s="323"/>
      <c r="D22" s="324"/>
      <c r="E22" s="324"/>
      <c r="F22" s="324"/>
      <c r="G22" s="324"/>
      <c r="H22" s="324"/>
      <c r="I22" s="324"/>
      <c r="J22" s="324"/>
      <c r="K22" s="324"/>
      <c r="L22" s="324"/>
      <c r="M22" s="324"/>
      <c r="N22" s="324"/>
      <c r="O22" s="324"/>
      <c r="P22" s="324"/>
      <c r="Q22" s="554"/>
    </row>
    <row r="23" spans="2:17" ht="15.75" x14ac:dyDescent="0.25">
      <c r="B23" s="607" t="s">
        <v>277</v>
      </c>
      <c r="C23" s="323"/>
      <c r="D23" s="324"/>
      <c r="E23" s="324"/>
      <c r="F23" s="324"/>
      <c r="G23" s="324"/>
      <c r="H23" s="324"/>
      <c r="I23" s="324"/>
      <c r="J23" s="324"/>
      <c r="K23" s="324"/>
      <c r="L23" s="324"/>
      <c r="M23" s="324"/>
      <c r="N23" s="324"/>
      <c r="O23" s="324"/>
      <c r="P23" s="324"/>
      <c r="Q23" s="554"/>
    </row>
    <row r="24" spans="2:17" x14ac:dyDescent="0.2">
      <c r="B24" s="553" t="s">
        <v>306</v>
      </c>
      <c r="C24" s="323"/>
      <c r="D24" s="324"/>
      <c r="E24" s="324"/>
      <c r="F24" s="324"/>
      <c r="G24" s="324"/>
      <c r="H24" s="324"/>
      <c r="I24" s="324"/>
      <c r="J24" s="324"/>
      <c r="K24" s="324"/>
      <c r="L24" s="324"/>
      <c r="M24" s="324"/>
      <c r="N24" s="324"/>
      <c r="O24" s="324"/>
      <c r="P24" s="324"/>
      <c r="Q24" s="554"/>
    </row>
    <row r="25" spans="2:17" x14ac:dyDescent="0.2">
      <c r="B25" s="553" t="s">
        <v>268</v>
      </c>
      <c r="C25" s="323"/>
      <c r="D25" s="324"/>
      <c r="E25" s="324"/>
      <c r="F25" s="324"/>
      <c r="G25" s="324"/>
      <c r="H25" s="324"/>
      <c r="I25" s="324"/>
      <c r="J25" s="324"/>
      <c r="K25" s="324"/>
      <c r="L25" s="324"/>
      <c r="M25" s="324"/>
      <c r="N25" s="324"/>
      <c r="O25" s="324"/>
      <c r="P25" s="324"/>
      <c r="Q25" s="554"/>
    </row>
    <row r="26" spans="2:17" x14ac:dyDescent="0.2">
      <c r="B26" s="553"/>
      <c r="C26" s="323"/>
      <c r="D26" s="324"/>
      <c r="E26" s="324"/>
      <c r="F26" s="324"/>
      <c r="G26" s="324"/>
      <c r="H26" s="324"/>
      <c r="I26" s="324"/>
      <c r="J26" s="324"/>
      <c r="K26" s="324"/>
      <c r="L26" s="324"/>
      <c r="M26" s="324"/>
      <c r="N26" s="324"/>
      <c r="O26" s="324"/>
      <c r="P26" s="324"/>
      <c r="Q26" s="554"/>
    </row>
    <row r="27" spans="2:17" x14ac:dyDescent="0.2">
      <c r="B27" s="553" t="s">
        <v>305</v>
      </c>
      <c r="C27" s="323"/>
      <c r="D27" s="324"/>
      <c r="E27" s="324"/>
      <c r="F27" s="324"/>
      <c r="G27" s="324"/>
      <c r="H27" s="324"/>
      <c r="I27" s="324"/>
      <c r="J27" s="324"/>
      <c r="K27" s="324"/>
      <c r="L27" s="324"/>
      <c r="M27" s="324"/>
      <c r="N27" s="324"/>
      <c r="O27" s="324"/>
      <c r="P27" s="324"/>
      <c r="Q27" s="554"/>
    </row>
    <row r="28" spans="2:17" x14ac:dyDescent="0.2">
      <c r="B28" s="553" t="s">
        <v>304</v>
      </c>
      <c r="C28" s="323"/>
      <c r="D28" s="324"/>
      <c r="E28" s="324"/>
      <c r="F28" s="324"/>
      <c r="G28" s="324"/>
      <c r="H28" s="324"/>
      <c r="I28" s="324"/>
      <c r="J28" s="324"/>
      <c r="K28" s="324"/>
      <c r="L28" s="324"/>
      <c r="M28" s="324"/>
      <c r="N28" s="324"/>
      <c r="O28" s="324"/>
      <c r="P28" s="324"/>
      <c r="Q28" s="554"/>
    </row>
    <row r="29" spans="2:17" x14ac:dyDescent="0.2">
      <c r="B29" s="553" t="s">
        <v>377</v>
      </c>
      <c r="C29" s="323"/>
      <c r="D29" s="324"/>
      <c r="E29" s="324"/>
      <c r="F29" s="324"/>
      <c r="G29" s="324"/>
      <c r="H29" s="324"/>
      <c r="I29" s="324"/>
      <c r="J29" s="324"/>
      <c r="K29" s="324"/>
      <c r="L29" s="324"/>
      <c r="M29" s="324"/>
      <c r="N29" s="324"/>
      <c r="O29" s="324"/>
      <c r="P29" s="324"/>
      <c r="Q29" s="554"/>
    </row>
    <row r="30" spans="2:17" x14ac:dyDescent="0.2">
      <c r="B30" s="553" t="s">
        <v>307</v>
      </c>
      <c r="C30" s="323"/>
      <c r="D30" s="324"/>
      <c r="E30" s="324"/>
      <c r="F30" s="324"/>
      <c r="G30" s="324"/>
      <c r="H30" s="324"/>
      <c r="I30" s="324"/>
      <c r="J30" s="324"/>
      <c r="K30" s="324"/>
      <c r="L30" s="324"/>
      <c r="M30" s="324"/>
      <c r="N30" s="324"/>
      <c r="O30" s="324"/>
      <c r="P30" s="324"/>
      <c r="Q30" s="554"/>
    </row>
    <row r="31" spans="2:17" x14ac:dyDescent="0.2">
      <c r="B31" s="553"/>
      <c r="C31" s="323"/>
      <c r="D31" s="324"/>
      <c r="E31" s="324"/>
      <c r="F31" s="324"/>
      <c r="G31" s="324"/>
      <c r="H31" s="324"/>
      <c r="I31" s="324"/>
      <c r="J31" s="324"/>
      <c r="K31" s="324"/>
      <c r="L31" s="324"/>
      <c r="M31" s="324"/>
      <c r="N31" s="324"/>
      <c r="O31" s="324"/>
      <c r="P31" s="324"/>
      <c r="Q31" s="554"/>
    </row>
    <row r="32" spans="2:17" x14ac:dyDescent="0.2">
      <c r="B32" s="553" t="s">
        <v>308</v>
      </c>
      <c r="C32" s="323"/>
      <c r="D32" s="324"/>
      <c r="E32" s="324"/>
      <c r="F32" s="324"/>
      <c r="G32" s="324"/>
      <c r="H32" s="324"/>
      <c r="I32" s="324"/>
      <c r="J32" s="324"/>
      <c r="K32" s="324"/>
      <c r="L32" s="324"/>
      <c r="M32" s="324"/>
      <c r="N32" s="324"/>
      <c r="O32" s="324"/>
      <c r="P32" s="324"/>
      <c r="Q32" s="554"/>
    </row>
    <row r="33" spans="2:17" x14ac:dyDescent="0.2">
      <c r="B33" s="553" t="s">
        <v>270</v>
      </c>
      <c r="C33" s="323"/>
      <c r="D33" s="324"/>
      <c r="E33" s="324"/>
      <c r="F33" s="324"/>
      <c r="G33" s="324"/>
      <c r="H33" s="324"/>
      <c r="I33" s="324"/>
      <c r="J33" s="324"/>
      <c r="K33" s="324"/>
      <c r="L33" s="324"/>
      <c r="M33" s="324"/>
      <c r="N33" s="324"/>
      <c r="O33" s="324"/>
      <c r="P33" s="324"/>
      <c r="Q33" s="554"/>
    </row>
    <row r="34" spans="2:17" x14ac:dyDescent="0.2">
      <c r="B34" s="553" t="s">
        <v>269</v>
      </c>
      <c r="C34" s="323"/>
      <c r="D34" s="324"/>
      <c r="E34" s="324"/>
      <c r="F34" s="324"/>
      <c r="G34" s="324"/>
      <c r="H34" s="324"/>
      <c r="I34" s="324"/>
      <c r="J34" s="324"/>
      <c r="K34" s="324"/>
      <c r="L34" s="324"/>
      <c r="M34" s="324"/>
      <c r="N34" s="324"/>
      <c r="O34" s="324"/>
      <c r="P34" s="324"/>
      <c r="Q34" s="554"/>
    </row>
    <row r="35" spans="2:17" x14ac:dyDescent="0.2">
      <c r="B35" s="553"/>
      <c r="C35" s="323"/>
      <c r="D35" s="324"/>
      <c r="E35" s="324"/>
      <c r="F35" s="324"/>
      <c r="G35" s="324"/>
      <c r="H35" s="324"/>
      <c r="I35" s="324"/>
      <c r="J35" s="324"/>
      <c r="K35" s="324"/>
      <c r="L35" s="324"/>
      <c r="M35" s="324"/>
      <c r="N35" s="324"/>
      <c r="O35" s="324"/>
      <c r="P35" s="324"/>
      <c r="Q35" s="554"/>
    </row>
    <row r="36" spans="2:17" x14ac:dyDescent="0.2">
      <c r="B36" s="553" t="s">
        <v>266</v>
      </c>
      <c r="C36" s="323"/>
      <c r="D36" s="324"/>
      <c r="E36" s="324"/>
      <c r="F36" s="324"/>
      <c r="G36" s="324"/>
      <c r="H36" s="324"/>
      <c r="I36" s="324"/>
      <c r="J36" s="324"/>
      <c r="K36" s="324"/>
      <c r="L36" s="324"/>
      <c r="M36" s="324"/>
      <c r="N36" s="324"/>
      <c r="O36" s="324"/>
      <c r="P36" s="324"/>
      <c r="Q36" s="554"/>
    </row>
    <row r="37" spans="2:17" x14ac:dyDescent="0.2">
      <c r="B37" s="553" t="s">
        <v>267</v>
      </c>
      <c r="C37" s="323"/>
      <c r="D37" s="324"/>
      <c r="E37" s="324"/>
      <c r="F37" s="324"/>
      <c r="G37" s="324"/>
      <c r="H37" s="324"/>
      <c r="I37" s="324"/>
      <c r="J37" s="324"/>
      <c r="K37" s="324"/>
      <c r="L37" s="324"/>
      <c r="M37" s="324"/>
      <c r="N37" s="324"/>
      <c r="O37" s="324"/>
      <c r="P37" s="324"/>
      <c r="Q37" s="554"/>
    </row>
    <row r="38" spans="2:17" x14ac:dyDescent="0.2">
      <c r="B38" s="553" t="s">
        <v>208</v>
      </c>
      <c r="C38" s="323"/>
      <c r="D38" s="324"/>
      <c r="E38" s="324"/>
      <c r="F38" s="324"/>
      <c r="G38" s="324"/>
      <c r="H38" s="324"/>
      <c r="I38" s="324"/>
      <c r="J38" s="324"/>
      <c r="K38" s="324"/>
      <c r="L38" s="324"/>
      <c r="M38" s="324"/>
      <c r="N38" s="324"/>
      <c r="O38" s="324"/>
      <c r="P38" s="324"/>
      <c r="Q38" s="554"/>
    </row>
    <row r="39" spans="2:17" x14ac:dyDescent="0.2">
      <c r="B39" s="553" t="s">
        <v>209</v>
      </c>
      <c r="C39" s="323"/>
      <c r="D39" s="324"/>
      <c r="E39" s="324"/>
      <c r="F39" s="324"/>
      <c r="G39" s="324"/>
      <c r="H39" s="324"/>
      <c r="I39" s="324"/>
      <c r="J39" s="324"/>
      <c r="K39" s="324"/>
      <c r="L39" s="324"/>
      <c r="M39" s="324"/>
      <c r="N39" s="324"/>
      <c r="O39" s="324"/>
      <c r="P39" s="324"/>
      <c r="Q39" s="554"/>
    </row>
    <row r="40" spans="2:17" x14ac:dyDescent="0.2">
      <c r="B40" s="553" t="s">
        <v>363</v>
      </c>
      <c r="C40" s="323"/>
      <c r="D40" s="324"/>
      <c r="E40" s="324"/>
      <c r="F40" s="324"/>
      <c r="G40" s="324"/>
      <c r="H40" s="324"/>
      <c r="I40" s="324"/>
      <c r="J40" s="324"/>
      <c r="K40" s="324"/>
      <c r="L40" s="324"/>
      <c r="M40" s="324"/>
      <c r="N40" s="324"/>
      <c r="O40" s="324"/>
      <c r="P40" s="324"/>
      <c r="Q40" s="554"/>
    </row>
    <row r="41" spans="2:17" x14ac:dyDescent="0.2">
      <c r="B41" s="553"/>
      <c r="C41" s="323"/>
      <c r="D41" s="324"/>
      <c r="E41" s="324"/>
      <c r="F41" s="324"/>
      <c r="G41" s="324"/>
      <c r="H41" s="324"/>
      <c r="I41" s="324"/>
      <c r="J41" s="324"/>
      <c r="K41" s="324"/>
      <c r="L41" s="324"/>
      <c r="M41" s="324"/>
      <c r="N41" s="324"/>
      <c r="O41" s="324"/>
      <c r="P41" s="324"/>
      <c r="Q41" s="554"/>
    </row>
    <row r="42" spans="2:17" x14ac:dyDescent="0.2">
      <c r="B42" s="606" t="s">
        <v>367</v>
      </c>
      <c r="C42" s="323"/>
      <c r="D42" s="324"/>
      <c r="E42" s="324"/>
      <c r="F42" s="324"/>
      <c r="G42" s="324"/>
      <c r="H42" s="324"/>
      <c r="I42" s="324"/>
      <c r="J42" s="324"/>
      <c r="K42" s="324"/>
      <c r="L42" s="324"/>
      <c r="M42" s="324"/>
      <c r="N42" s="324"/>
      <c r="O42" s="324"/>
      <c r="P42" s="324"/>
      <c r="Q42" s="554"/>
    </row>
    <row r="43" spans="2:17" x14ac:dyDescent="0.2">
      <c r="B43" s="553" t="s">
        <v>365</v>
      </c>
      <c r="C43" s="323"/>
      <c r="D43" s="324"/>
      <c r="E43" s="324"/>
      <c r="F43" s="324"/>
      <c r="G43" s="324"/>
      <c r="H43" s="324"/>
      <c r="I43" s="324"/>
      <c r="J43" s="324"/>
      <c r="K43" s="324"/>
      <c r="L43" s="324"/>
      <c r="M43" s="324"/>
      <c r="N43" s="324"/>
      <c r="O43" s="324"/>
      <c r="P43" s="324"/>
      <c r="Q43" s="554"/>
    </row>
    <row r="44" spans="2:17" x14ac:dyDescent="0.2">
      <c r="B44" s="553" t="s">
        <v>371</v>
      </c>
      <c r="C44" s="323"/>
      <c r="D44" s="324"/>
      <c r="E44" s="324"/>
      <c r="F44" s="324"/>
      <c r="G44" s="324"/>
      <c r="H44" s="324"/>
      <c r="I44" s="324"/>
      <c r="J44" s="324"/>
      <c r="K44" s="324"/>
      <c r="L44" s="324"/>
      <c r="M44" s="324"/>
      <c r="N44" s="324"/>
      <c r="O44" s="324"/>
      <c r="P44" s="324"/>
      <c r="Q44" s="554"/>
    </row>
    <row r="45" spans="2:17" x14ac:dyDescent="0.2">
      <c r="B45" s="553" t="s">
        <v>364</v>
      </c>
      <c r="C45" s="323"/>
      <c r="D45" s="324"/>
      <c r="E45" s="324"/>
      <c r="F45" s="324"/>
      <c r="G45" s="324"/>
      <c r="H45" s="324"/>
      <c r="I45" s="324"/>
      <c r="J45" s="324"/>
      <c r="K45" s="324"/>
      <c r="L45" s="324"/>
      <c r="M45" s="324"/>
      <c r="N45" s="324"/>
      <c r="O45" s="324"/>
      <c r="P45" s="324"/>
      <c r="Q45" s="554"/>
    </row>
    <row r="46" spans="2:17" x14ac:dyDescent="0.2">
      <c r="B46" s="553"/>
      <c r="C46" s="323"/>
      <c r="D46" s="324"/>
      <c r="E46" s="324"/>
      <c r="F46" s="324"/>
      <c r="G46" s="324"/>
      <c r="H46" s="324"/>
      <c r="I46" s="324"/>
      <c r="J46" s="324"/>
      <c r="K46" s="324"/>
      <c r="L46" s="324"/>
      <c r="M46" s="324"/>
      <c r="N46" s="324"/>
      <c r="O46" s="324"/>
      <c r="P46" s="324"/>
      <c r="Q46" s="554"/>
    </row>
    <row r="47" spans="2:17" x14ac:dyDescent="0.2">
      <c r="B47" s="658" t="s">
        <v>357</v>
      </c>
      <c r="C47" s="323"/>
      <c r="D47" s="324"/>
      <c r="E47" s="324"/>
      <c r="F47" s="324"/>
      <c r="G47" s="324"/>
      <c r="H47" s="324"/>
      <c r="I47" s="324"/>
      <c r="J47" s="324"/>
      <c r="K47" s="324"/>
      <c r="L47" s="324"/>
      <c r="M47" s="324"/>
      <c r="N47" s="324"/>
      <c r="O47" s="324"/>
      <c r="P47" s="324"/>
      <c r="Q47" s="554"/>
    </row>
    <row r="48" spans="2:17" x14ac:dyDescent="0.2">
      <c r="B48" s="553" t="s">
        <v>358</v>
      </c>
      <c r="C48" s="323"/>
      <c r="D48" s="324"/>
      <c r="E48" s="324"/>
      <c r="F48" s="324"/>
      <c r="G48" s="324"/>
      <c r="H48" s="324"/>
      <c r="I48" s="324"/>
      <c r="J48" s="324"/>
      <c r="K48" s="324"/>
      <c r="L48" s="324"/>
      <c r="M48" s="324"/>
      <c r="N48" s="324"/>
      <c r="O48" s="324"/>
      <c r="P48" s="324"/>
      <c r="Q48" s="554"/>
    </row>
    <row r="49" spans="2:17" x14ac:dyDescent="0.2">
      <c r="B49" s="553" t="s">
        <v>359</v>
      </c>
      <c r="C49" s="323"/>
      <c r="D49" s="324"/>
      <c r="E49" s="324"/>
      <c r="F49" s="324"/>
      <c r="G49" s="324"/>
      <c r="H49" s="324"/>
      <c r="I49" s="324"/>
      <c r="J49" s="324"/>
      <c r="K49" s="324"/>
      <c r="L49" s="324"/>
      <c r="M49" s="324"/>
      <c r="N49" s="324"/>
      <c r="O49" s="324"/>
      <c r="P49" s="324"/>
      <c r="Q49" s="554"/>
    </row>
    <row r="50" spans="2:17" x14ac:dyDescent="0.2">
      <c r="B50" s="553" t="s">
        <v>360</v>
      </c>
      <c r="C50" s="323"/>
      <c r="D50" s="324"/>
      <c r="E50" s="324"/>
      <c r="F50" s="324"/>
      <c r="G50" s="324"/>
      <c r="H50" s="324"/>
      <c r="I50" s="324"/>
      <c r="J50" s="324"/>
      <c r="K50" s="324"/>
      <c r="L50" s="324"/>
      <c r="M50" s="324"/>
      <c r="N50" s="324"/>
      <c r="O50" s="324"/>
      <c r="P50" s="324"/>
      <c r="Q50" s="554"/>
    </row>
    <row r="51" spans="2:17" x14ac:dyDescent="0.2">
      <c r="B51" s="553" t="s">
        <v>361</v>
      </c>
      <c r="C51" s="323"/>
      <c r="D51" s="324"/>
      <c r="E51" s="324"/>
      <c r="F51" s="324"/>
      <c r="G51" s="324"/>
      <c r="H51" s="324"/>
      <c r="I51" s="324"/>
      <c r="J51" s="324"/>
      <c r="K51" s="324"/>
      <c r="L51" s="324"/>
      <c r="M51" s="324"/>
      <c r="N51" s="324"/>
      <c r="O51" s="324"/>
      <c r="P51" s="324"/>
      <c r="Q51" s="554"/>
    </row>
    <row r="52" spans="2:17" x14ac:dyDescent="0.2">
      <c r="B52" s="553" t="s">
        <v>362</v>
      </c>
      <c r="C52" s="323"/>
      <c r="D52" s="324"/>
      <c r="E52" s="324"/>
      <c r="F52" s="324"/>
      <c r="G52" s="324"/>
      <c r="H52" s="324"/>
      <c r="I52" s="324"/>
      <c r="J52" s="324"/>
      <c r="K52" s="324"/>
      <c r="L52" s="324"/>
      <c r="M52" s="324"/>
      <c r="N52" s="324"/>
      <c r="O52" s="324"/>
      <c r="P52" s="324"/>
      <c r="Q52" s="554"/>
    </row>
    <row r="53" spans="2:17" x14ac:dyDescent="0.2">
      <c r="B53" s="553"/>
      <c r="C53" s="323"/>
      <c r="D53" s="324"/>
      <c r="E53" s="324"/>
      <c r="F53" s="324"/>
      <c r="G53" s="324"/>
      <c r="H53" s="324"/>
      <c r="I53" s="324"/>
      <c r="J53" s="324"/>
      <c r="K53" s="324"/>
      <c r="L53" s="324"/>
      <c r="M53" s="324"/>
      <c r="N53" s="324"/>
      <c r="O53" s="324"/>
      <c r="P53" s="324"/>
      <c r="Q53" s="554"/>
    </row>
    <row r="54" spans="2:17" x14ac:dyDescent="0.2">
      <c r="B54" s="606" t="s">
        <v>290</v>
      </c>
      <c r="C54" s="323"/>
      <c r="D54" s="324"/>
      <c r="E54" s="324"/>
      <c r="F54" s="324"/>
      <c r="G54" s="324"/>
      <c r="H54" s="324"/>
      <c r="I54" s="324"/>
      <c r="J54" s="324"/>
      <c r="K54" s="324"/>
      <c r="L54" s="324"/>
      <c r="M54" s="324"/>
      <c r="N54" s="324"/>
      <c r="O54" s="324"/>
      <c r="P54" s="324"/>
      <c r="Q54" s="554"/>
    </row>
    <row r="55" spans="2:17" x14ac:dyDescent="0.2">
      <c r="B55" s="553" t="s">
        <v>318</v>
      </c>
      <c r="C55" s="323"/>
      <c r="D55" s="324"/>
      <c r="E55" s="324"/>
      <c r="F55" s="324"/>
      <c r="G55" s="324"/>
      <c r="H55" s="324"/>
      <c r="I55" s="324"/>
      <c r="J55" s="324"/>
      <c r="K55" s="324"/>
      <c r="L55" s="324"/>
      <c r="M55" s="324"/>
      <c r="N55" s="324"/>
      <c r="O55" s="324"/>
      <c r="P55" s="324"/>
      <c r="Q55" s="554"/>
    </row>
    <row r="56" spans="2:17" x14ac:dyDescent="0.2">
      <c r="B56" s="553" t="s">
        <v>319</v>
      </c>
      <c r="C56" s="323"/>
      <c r="D56" s="324"/>
      <c r="E56" s="324"/>
      <c r="F56" s="324"/>
      <c r="G56" s="324"/>
      <c r="H56" s="324"/>
      <c r="I56" s="324"/>
      <c r="J56" s="324"/>
      <c r="K56" s="324"/>
      <c r="L56" s="324"/>
      <c r="M56" s="324"/>
      <c r="N56" s="324"/>
      <c r="O56" s="324"/>
      <c r="P56" s="324"/>
      <c r="Q56" s="554"/>
    </row>
    <row r="57" spans="2:17" x14ac:dyDescent="0.2">
      <c r="B57" s="553"/>
      <c r="C57" s="323"/>
      <c r="D57" s="324"/>
      <c r="E57" s="324"/>
      <c r="F57" s="324"/>
      <c r="G57" s="324"/>
      <c r="H57" s="324"/>
      <c r="I57" s="324"/>
      <c r="J57" s="324"/>
      <c r="K57" s="324"/>
      <c r="L57" s="324"/>
      <c r="M57" s="324"/>
      <c r="N57" s="324"/>
      <c r="O57" s="324"/>
      <c r="P57" s="324"/>
      <c r="Q57" s="554"/>
    </row>
    <row r="58" spans="2:17" x14ac:dyDescent="0.2">
      <c r="B58" s="606" t="s">
        <v>311</v>
      </c>
      <c r="C58" s="323"/>
      <c r="D58" s="324"/>
      <c r="E58" s="324"/>
      <c r="F58" s="324"/>
      <c r="G58" s="324"/>
      <c r="H58" s="324"/>
      <c r="I58" s="324"/>
      <c r="J58" s="324"/>
      <c r="K58" s="324"/>
      <c r="L58" s="324"/>
      <c r="M58" s="324"/>
      <c r="N58" s="324"/>
      <c r="O58" s="324"/>
      <c r="P58" s="324"/>
      <c r="Q58" s="554"/>
    </row>
    <row r="59" spans="2:17" x14ac:dyDescent="0.2">
      <c r="B59" s="553" t="s">
        <v>278</v>
      </c>
      <c r="C59" s="323"/>
      <c r="D59" s="324"/>
      <c r="E59" s="324"/>
      <c r="F59" s="324"/>
      <c r="G59" s="324"/>
      <c r="H59" s="324"/>
      <c r="I59" s="324"/>
      <c r="J59" s="324"/>
      <c r="K59" s="324"/>
      <c r="L59" s="324"/>
      <c r="M59" s="324"/>
      <c r="N59" s="324"/>
      <c r="O59" s="324"/>
      <c r="P59" s="324"/>
      <c r="Q59" s="554"/>
    </row>
    <row r="60" spans="2:17" x14ac:dyDescent="0.2">
      <c r="B60" s="553" t="s">
        <v>309</v>
      </c>
      <c r="C60" s="323"/>
      <c r="D60" s="324"/>
      <c r="E60" s="324"/>
      <c r="F60" s="324"/>
      <c r="G60" s="324"/>
      <c r="H60" s="324"/>
      <c r="I60" s="324"/>
      <c r="J60" s="324"/>
      <c r="K60" s="324"/>
      <c r="L60" s="324"/>
      <c r="M60" s="324"/>
      <c r="N60" s="324"/>
      <c r="O60" s="324"/>
      <c r="P60" s="324"/>
      <c r="Q60" s="554"/>
    </row>
    <row r="61" spans="2:17" x14ac:dyDescent="0.2">
      <c r="B61" s="553" t="s">
        <v>279</v>
      </c>
      <c r="C61" s="323"/>
      <c r="D61" s="324"/>
      <c r="E61" s="324"/>
      <c r="F61" s="324"/>
      <c r="G61" s="324"/>
      <c r="H61" s="324"/>
      <c r="I61" s="324"/>
      <c r="J61" s="324"/>
      <c r="K61" s="324"/>
      <c r="L61" s="324"/>
      <c r="M61" s="324"/>
      <c r="N61" s="324"/>
      <c r="O61" s="324"/>
      <c r="P61" s="324"/>
      <c r="Q61" s="554"/>
    </row>
    <row r="62" spans="2:17" x14ac:dyDescent="0.2">
      <c r="B62" s="553"/>
      <c r="C62" s="323"/>
      <c r="D62" s="324"/>
      <c r="E62" s="324"/>
      <c r="F62" s="324"/>
      <c r="G62" s="324"/>
      <c r="H62" s="324"/>
      <c r="I62" s="324"/>
      <c r="J62" s="324"/>
      <c r="K62" s="324"/>
      <c r="L62" s="324"/>
      <c r="M62" s="324"/>
      <c r="N62" s="324"/>
      <c r="O62" s="324"/>
      <c r="P62" s="324"/>
      <c r="Q62" s="554"/>
    </row>
    <row r="63" spans="2:17" x14ac:dyDescent="0.2">
      <c r="B63" s="606" t="s">
        <v>271</v>
      </c>
      <c r="C63" s="323"/>
      <c r="D63" s="324"/>
      <c r="E63" s="324"/>
      <c r="F63" s="324"/>
      <c r="G63" s="324"/>
      <c r="H63" s="324"/>
      <c r="I63" s="324"/>
      <c r="J63" s="324"/>
      <c r="K63" s="324"/>
      <c r="L63" s="324"/>
      <c r="M63" s="324"/>
      <c r="N63" s="324"/>
      <c r="O63" s="324"/>
      <c r="P63" s="324"/>
      <c r="Q63" s="554"/>
    </row>
    <row r="64" spans="2:17" x14ac:dyDescent="0.2">
      <c r="B64" s="553" t="s">
        <v>320</v>
      </c>
      <c r="C64" s="323"/>
      <c r="D64" s="324"/>
      <c r="E64" s="324"/>
      <c r="F64" s="324"/>
      <c r="G64" s="324"/>
      <c r="H64" s="324"/>
      <c r="I64" s="324"/>
      <c r="J64" s="324"/>
      <c r="K64" s="324"/>
      <c r="L64" s="324"/>
      <c r="M64" s="324"/>
      <c r="N64" s="324"/>
      <c r="O64" s="324"/>
      <c r="P64" s="324"/>
      <c r="Q64" s="554"/>
    </row>
    <row r="65" spans="2:17" x14ac:dyDescent="0.2">
      <c r="B65" s="553" t="s">
        <v>321</v>
      </c>
      <c r="C65" s="323"/>
      <c r="D65" s="324"/>
      <c r="E65" s="324"/>
      <c r="F65" s="324"/>
      <c r="G65" s="324"/>
      <c r="H65" s="324"/>
      <c r="I65" s="324"/>
      <c r="J65" s="324"/>
      <c r="K65" s="324"/>
      <c r="L65" s="324"/>
      <c r="M65" s="324"/>
      <c r="N65" s="324"/>
      <c r="O65" s="324"/>
      <c r="P65" s="324"/>
      <c r="Q65" s="554"/>
    </row>
    <row r="66" spans="2:17" x14ac:dyDescent="0.2">
      <c r="B66" s="553" t="s">
        <v>322</v>
      </c>
      <c r="C66" s="323"/>
      <c r="D66" s="324"/>
      <c r="E66" s="324"/>
      <c r="F66" s="324"/>
      <c r="G66" s="324"/>
      <c r="H66" s="324"/>
      <c r="I66" s="324"/>
      <c r="J66" s="324"/>
      <c r="K66" s="324"/>
      <c r="L66" s="324"/>
      <c r="M66" s="324"/>
      <c r="N66" s="324"/>
      <c r="O66" s="324"/>
      <c r="P66" s="324"/>
      <c r="Q66" s="554"/>
    </row>
    <row r="67" spans="2:17" x14ac:dyDescent="0.2">
      <c r="B67" s="553"/>
      <c r="C67" s="323"/>
      <c r="D67" s="324"/>
      <c r="E67" s="324"/>
      <c r="F67" s="324"/>
      <c r="G67" s="324"/>
      <c r="H67" s="324"/>
      <c r="I67" s="324"/>
      <c r="J67" s="324"/>
      <c r="K67" s="324"/>
      <c r="L67" s="324"/>
      <c r="M67" s="324"/>
      <c r="N67" s="324"/>
      <c r="O67" s="324"/>
      <c r="P67" s="324"/>
      <c r="Q67" s="554"/>
    </row>
    <row r="68" spans="2:17" x14ac:dyDescent="0.2">
      <c r="B68" s="553" t="s">
        <v>323</v>
      </c>
      <c r="C68" s="323"/>
      <c r="D68" s="324"/>
      <c r="E68" s="324"/>
      <c r="F68" s="324"/>
      <c r="G68" s="324"/>
      <c r="H68" s="324"/>
      <c r="I68" s="324"/>
      <c r="J68" s="324"/>
      <c r="K68" s="324"/>
      <c r="L68" s="324"/>
      <c r="M68" s="324"/>
      <c r="N68" s="324"/>
      <c r="O68" s="324"/>
      <c r="P68" s="324"/>
      <c r="Q68" s="554"/>
    </row>
    <row r="69" spans="2:17" x14ac:dyDescent="0.2">
      <c r="B69" s="553" t="s">
        <v>272</v>
      </c>
      <c r="C69" s="323"/>
      <c r="D69" s="324"/>
      <c r="E69" s="324"/>
      <c r="F69" s="324"/>
      <c r="G69" s="324"/>
      <c r="H69" s="324"/>
      <c r="I69" s="324"/>
      <c r="J69" s="324"/>
      <c r="K69" s="324"/>
      <c r="L69" s="324"/>
      <c r="M69" s="324"/>
      <c r="N69" s="324"/>
      <c r="O69" s="324"/>
      <c r="P69" s="324"/>
      <c r="Q69" s="554"/>
    </row>
    <row r="70" spans="2:17" x14ac:dyDescent="0.2">
      <c r="B70" s="553" t="s">
        <v>324</v>
      </c>
      <c r="C70" s="323"/>
      <c r="D70" s="324"/>
      <c r="E70" s="324"/>
      <c r="F70" s="324"/>
      <c r="G70" s="324"/>
      <c r="H70" s="324"/>
      <c r="I70" s="324"/>
      <c r="J70" s="324"/>
      <c r="K70" s="324"/>
      <c r="L70" s="324"/>
      <c r="M70" s="324"/>
      <c r="N70" s="324"/>
      <c r="O70" s="324"/>
      <c r="P70" s="324"/>
      <c r="Q70" s="554"/>
    </row>
    <row r="71" spans="2:17" x14ac:dyDescent="0.2">
      <c r="B71" s="553"/>
      <c r="C71" s="323"/>
      <c r="D71" s="324"/>
      <c r="E71" s="324"/>
      <c r="F71" s="324"/>
      <c r="G71" s="324"/>
      <c r="H71" s="324"/>
      <c r="I71" s="324"/>
      <c r="J71" s="324"/>
      <c r="K71" s="324"/>
      <c r="L71" s="324"/>
      <c r="M71" s="324"/>
      <c r="N71" s="324"/>
      <c r="O71" s="324"/>
      <c r="P71" s="324"/>
      <c r="Q71" s="554"/>
    </row>
    <row r="72" spans="2:17" x14ac:dyDescent="0.2">
      <c r="B72" s="553" t="s">
        <v>325</v>
      </c>
      <c r="C72" s="323"/>
      <c r="D72" s="324"/>
      <c r="E72" s="324"/>
      <c r="F72" s="324"/>
      <c r="G72" s="324"/>
      <c r="H72" s="324"/>
      <c r="I72" s="324"/>
      <c r="J72" s="324"/>
      <c r="K72" s="324"/>
      <c r="L72" s="324"/>
      <c r="M72" s="324"/>
      <c r="N72" s="324"/>
      <c r="O72" s="324"/>
      <c r="P72" s="324"/>
      <c r="Q72" s="554"/>
    </row>
    <row r="73" spans="2:17" x14ac:dyDescent="0.2">
      <c r="B73" s="561"/>
      <c r="C73" s="564"/>
      <c r="D73" s="565"/>
      <c r="E73" s="565"/>
      <c r="F73" s="565"/>
      <c r="G73" s="565"/>
      <c r="H73" s="565"/>
      <c r="I73" s="565"/>
      <c r="J73" s="565"/>
      <c r="K73" s="565"/>
      <c r="L73" s="565"/>
      <c r="M73" s="565"/>
      <c r="N73" s="565"/>
      <c r="O73" s="565"/>
      <c r="P73" s="565"/>
      <c r="Q73" s="566"/>
    </row>
    <row r="74" spans="2:17" x14ac:dyDescent="0.2">
      <c r="B74" s="553"/>
      <c r="C74" s="323"/>
      <c r="D74" s="324"/>
      <c r="E74" s="324"/>
      <c r="F74" s="324"/>
      <c r="G74" s="324"/>
      <c r="H74" s="324"/>
      <c r="I74" s="324"/>
      <c r="J74" s="324"/>
      <c r="K74" s="324"/>
      <c r="L74" s="324"/>
      <c r="M74" s="324"/>
      <c r="N74" s="324"/>
      <c r="O74" s="324"/>
      <c r="P74" s="324"/>
      <c r="Q74" s="554"/>
    </row>
    <row r="75" spans="2:17" ht="15.75" x14ac:dyDescent="0.25">
      <c r="B75" s="607" t="s">
        <v>280</v>
      </c>
      <c r="C75" s="323"/>
      <c r="D75" s="324"/>
      <c r="E75" s="324"/>
      <c r="F75" s="324"/>
      <c r="G75" s="324"/>
      <c r="H75" s="324"/>
      <c r="I75" s="324"/>
      <c r="J75" s="324"/>
      <c r="K75" s="324"/>
      <c r="L75" s="324"/>
      <c r="M75" s="324"/>
      <c r="N75" s="324"/>
      <c r="O75" s="324"/>
      <c r="P75" s="324"/>
      <c r="Q75" s="554"/>
    </row>
    <row r="76" spans="2:17" x14ac:dyDescent="0.2">
      <c r="B76" s="553" t="s">
        <v>210</v>
      </c>
      <c r="C76" s="323"/>
      <c r="D76" s="324"/>
      <c r="E76" s="324"/>
      <c r="F76" s="324"/>
      <c r="G76" s="324"/>
      <c r="H76" s="324"/>
      <c r="I76" s="324"/>
      <c r="J76" s="324"/>
      <c r="K76" s="324"/>
      <c r="L76" s="324"/>
      <c r="M76" s="324"/>
      <c r="N76" s="324"/>
      <c r="O76" s="324"/>
      <c r="P76" s="324"/>
      <c r="Q76" s="554"/>
    </row>
    <row r="77" spans="2:17" x14ac:dyDescent="0.2">
      <c r="B77" s="553" t="s">
        <v>211</v>
      </c>
      <c r="C77" s="323"/>
      <c r="D77" s="324"/>
      <c r="E77" s="324"/>
      <c r="F77" s="324"/>
      <c r="G77" s="324"/>
      <c r="H77" s="324"/>
      <c r="I77" s="324"/>
      <c r="J77" s="324"/>
      <c r="K77" s="324"/>
      <c r="L77" s="324"/>
      <c r="M77" s="324"/>
      <c r="N77" s="324"/>
      <c r="O77" s="324"/>
      <c r="P77" s="324"/>
      <c r="Q77" s="554"/>
    </row>
    <row r="78" spans="2:17" x14ac:dyDescent="0.2">
      <c r="B78" s="557" t="s">
        <v>212</v>
      </c>
      <c r="C78" s="323"/>
      <c r="D78" s="324"/>
      <c r="E78" s="324"/>
      <c r="F78" s="324"/>
      <c r="G78" s="324"/>
      <c r="H78" s="324"/>
      <c r="I78" s="324"/>
      <c r="J78" s="324"/>
      <c r="K78" s="324"/>
      <c r="L78" s="324"/>
      <c r="M78" s="324"/>
      <c r="N78" s="324"/>
      <c r="O78" s="324"/>
      <c r="P78" s="324"/>
      <c r="Q78" s="554"/>
    </row>
    <row r="79" spans="2:17" x14ac:dyDescent="0.2">
      <c r="B79" s="553" t="s">
        <v>213</v>
      </c>
      <c r="C79" s="323"/>
      <c r="D79" s="324"/>
      <c r="E79" s="324"/>
      <c r="F79" s="324"/>
      <c r="G79" s="324"/>
      <c r="H79" s="324"/>
      <c r="I79" s="324"/>
      <c r="J79" s="324"/>
      <c r="K79" s="324"/>
      <c r="L79" s="324"/>
      <c r="M79" s="324"/>
      <c r="N79" s="324"/>
      <c r="O79" s="324"/>
      <c r="P79" s="324"/>
      <c r="Q79" s="554"/>
    </row>
    <row r="80" spans="2:17" x14ac:dyDescent="0.2">
      <c r="B80" s="553"/>
      <c r="C80" s="323"/>
      <c r="D80" s="324"/>
      <c r="E80" s="324"/>
      <c r="F80" s="324"/>
      <c r="G80" s="324"/>
      <c r="H80" s="324"/>
      <c r="I80" s="324"/>
      <c r="J80" s="324"/>
      <c r="K80" s="324"/>
      <c r="L80" s="324"/>
      <c r="M80" s="324"/>
      <c r="N80" s="324"/>
      <c r="O80" s="324"/>
      <c r="P80" s="324"/>
      <c r="Q80" s="554"/>
    </row>
    <row r="81" spans="2:17" x14ac:dyDescent="0.2">
      <c r="B81" s="553" t="s">
        <v>310</v>
      </c>
      <c r="C81" s="323"/>
      <c r="D81" s="324"/>
      <c r="E81" s="324"/>
      <c r="F81" s="324"/>
      <c r="G81" s="324"/>
      <c r="H81" s="324"/>
      <c r="I81" s="324"/>
      <c r="J81" s="324"/>
      <c r="K81" s="324"/>
      <c r="L81" s="324"/>
      <c r="M81" s="324"/>
      <c r="N81" s="324"/>
      <c r="O81" s="324"/>
      <c r="P81" s="324"/>
      <c r="Q81" s="554"/>
    </row>
    <row r="82" spans="2:17" x14ac:dyDescent="0.2">
      <c r="B82" s="553" t="s">
        <v>312</v>
      </c>
      <c r="C82" s="323"/>
      <c r="D82" s="324"/>
      <c r="E82" s="324"/>
      <c r="F82" s="324"/>
      <c r="G82" s="324"/>
      <c r="H82" s="324"/>
      <c r="I82" s="324"/>
      <c r="J82" s="324"/>
      <c r="K82" s="324"/>
      <c r="L82" s="324"/>
      <c r="M82" s="324"/>
      <c r="N82" s="324"/>
      <c r="O82" s="324"/>
      <c r="P82" s="324"/>
      <c r="Q82" s="554"/>
    </row>
    <row r="83" spans="2:17" x14ac:dyDescent="0.2">
      <c r="B83" s="553" t="s">
        <v>273</v>
      </c>
      <c r="C83" s="323"/>
      <c r="D83" s="324"/>
      <c r="E83" s="324"/>
      <c r="F83" s="324"/>
      <c r="G83" s="324"/>
      <c r="H83" s="324"/>
      <c r="I83" s="324"/>
      <c r="J83" s="324"/>
      <c r="K83" s="324"/>
      <c r="L83" s="324"/>
      <c r="M83" s="324"/>
      <c r="N83" s="324"/>
      <c r="O83" s="324"/>
      <c r="P83" s="324"/>
      <c r="Q83" s="554"/>
    </row>
    <row r="84" spans="2:17" x14ac:dyDescent="0.2">
      <c r="B84" s="553" t="s">
        <v>274</v>
      </c>
      <c r="C84" s="323"/>
      <c r="D84" s="324"/>
      <c r="E84" s="324"/>
      <c r="F84" s="324"/>
      <c r="G84" s="324"/>
      <c r="H84" s="324"/>
      <c r="I84" s="324"/>
      <c r="J84" s="324"/>
      <c r="K84" s="324"/>
      <c r="L84" s="324"/>
      <c r="M84" s="324"/>
      <c r="N84" s="324"/>
      <c r="O84" s="324"/>
      <c r="P84" s="324"/>
      <c r="Q84" s="554"/>
    </row>
    <row r="85" spans="2:17" x14ac:dyDescent="0.2">
      <c r="B85" s="553" t="s">
        <v>326</v>
      </c>
      <c r="C85" s="323"/>
      <c r="D85" s="324"/>
      <c r="E85" s="324"/>
      <c r="F85" s="324"/>
      <c r="G85" s="324"/>
      <c r="H85" s="324"/>
      <c r="I85" s="324"/>
      <c r="J85" s="324"/>
      <c r="K85" s="324"/>
      <c r="L85" s="324"/>
      <c r="M85" s="324"/>
      <c r="N85" s="324"/>
      <c r="O85" s="324"/>
      <c r="P85" s="324"/>
      <c r="Q85" s="554"/>
    </row>
    <row r="86" spans="2:17" x14ac:dyDescent="0.2">
      <c r="B86" s="553"/>
      <c r="C86" s="323"/>
      <c r="D86" s="324"/>
      <c r="E86" s="324"/>
      <c r="F86" s="324"/>
      <c r="G86" s="324"/>
      <c r="H86" s="324"/>
      <c r="I86" s="324"/>
      <c r="J86" s="324"/>
      <c r="K86" s="324"/>
      <c r="L86" s="324"/>
      <c r="M86" s="324"/>
      <c r="N86" s="324"/>
      <c r="O86" s="324"/>
      <c r="P86" s="324"/>
      <c r="Q86" s="554"/>
    </row>
    <row r="87" spans="2:17" x14ac:dyDescent="0.2">
      <c r="B87" s="553" t="s">
        <v>327</v>
      </c>
      <c r="C87" s="323"/>
      <c r="D87" s="324"/>
      <c r="E87" s="324"/>
      <c r="F87" s="324"/>
      <c r="G87" s="324"/>
      <c r="H87" s="324"/>
      <c r="I87" s="324"/>
      <c r="J87" s="324"/>
      <c r="K87" s="324"/>
      <c r="L87" s="324"/>
      <c r="M87" s="324"/>
      <c r="N87" s="324"/>
      <c r="O87" s="324"/>
      <c r="P87" s="324"/>
      <c r="Q87" s="554"/>
    </row>
    <row r="88" spans="2:17" x14ac:dyDescent="0.2">
      <c r="B88" s="553" t="s">
        <v>214</v>
      </c>
      <c r="C88" s="323"/>
      <c r="D88" s="324"/>
      <c r="E88" s="324"/>
      <c r="F88" s="324"/>
      <c r="G88" s="324"/>
      <c r="H88" s="324"/>
      <c r="I88" s="324"/>
      <c r="J88" s="324"/>
      <c r="K88" s="324"/>
      <c r="L88" s="324"/>
      <c r="M88" s="324"/>
      <c r="N88" s="324"/>
      <c r="O88" s="324"/>
      <c r="P88" s="324"/>
      <c r="Q88" s="554"/>
    </row>
    <row r="89" spans="2:17" x14ac:dyDescent="0.2">
      <c r="B89" s="553" t="s">
        <v>215</v>
      </c>
      <c r="C89" s="323"/>
      <c r="D89" s="324"/>
      <c r="E89" s="324"/>
      <c r="F89" s="324"/>
      <c r="G89" s="324"/>
      <c r="H89" s="324"/>
      <c r="I89" s="324"/>
      <c r="J89" s="324"/>
      <c r="K89" s="324"/>
      <c r="L89" s="324"/>
      <c r="M89" s="324"/>
      <c r="N89" s="324"/>
      <c r="O89" s="324"/>
      <c r="P89" s="324"/>
      <c r="Q89" s="554"/>
    </row>
    <row r="90" spans="2:17" x14ac:dyDescent="0.2">
      <c r="B90" s="553"/>
      <c r="C90" s="323"/>
      <c r="D90" s="324"/>
      <c r="E90" s="324"/>
      <c r="F90" s="324"/>
      <c r="G90" s="324"/>
      <c r="H90" s="324"/>
      <c r="I90" s="324"/>
      <c r="J90" s="324"/>
      <c r="K90" s="324"/>
      <c r="L90" s="324"/>
      <c r="M90" s="324"/>
      <c r="N90" s="324"/>
      <c r="O90" s="324"/>
      <c r="P90" s="324"/>
      <c r="Q90" s="554"/>
    </row>
    <row r="91" spans="2:17" x14ac:dyDescent="0.2">
      <c r="B91" s="553" t="s">
        <v>216</v>
      </c>
      <c r="C91" s="323"/>
      <c r="D91" s="324"/>
      <c r="E91" s="324"/>
      <c r="F91" s="324"/>
      <c r="G91" s="324"/>
      <c r="H91" s="324"/>
      <c r="I91" s="324"/>
      <c r="J91" s="324"/>
      <c r="K91" s="324"/>
      <c r="L91" s="324"/>
      <c r="M91" s="324"/>
      <c r="N91" s="324"/>
      <c r="O91" s="324"/>
      <c r="P91" s="324"/>
      <c r="Q91" s="554"/>
    </row>
    <row r="92" spans="2:17" x14ac:dyDescent="0.2">
      <c r="B92" s="553" t="s">
        <v>217</v>
      </c>
      <c r="C92" s="323"/>
      <c r="D92" s="324"/>
      <c r="E92" s="324"/>
      <c r="F92" s="324"/>
      <c r="G92" s="324"/>
      <c r="H92" s="324"/>
      <c r="I92" s="324"/>
      <c r="J92" s="324"/>
      <c r="K92" s="324"/>
      <c r="L92" s="324"/>
      <c r="M92" s="324"/>
      <c r="N92" s="324"/>
      <c r="O92" s="324"/>
      <c r="P92" s="324"/>
      <c r="Q92" s="554"/>
    </row>
    <row r="93" spans="2:17" x14ac:dyDescent="0.2">
      <c r="B93" s="553"/>
      <c r="C93" s="323"/>
      <c r="D93" s="324"/>
      <c r="E93" s="324"/>
      <c r="F93" s="324"/>
      <c r="G93" s="324"/>
      <c r="H93" s="324"/>
      <c r="I93" s="324"/>
      <c r="J93" s="324"/>
      <c r="K93" s="324"/>
      <c r="L93" s="324"/>
      <c r="M93" s="324"/>
      <c r="N93" s="324"/>
      <c r="O93" s="324"/>
      <c r="P93" s="324"/>
      <c r="Q93" s="554"/>
    </row>
    <row r="94" spans="2:17" x14ac:dyDescent="0.2">
      <c r="B94" s="553" t="s">
        <v>313</v>
      </c>
      <c r="C94" s="323"/>
      <c r="D94" s="324"/>
      <c r="E94" s="324"/>
      <c r="F94" s="324"/>
      <c r="G94" s="324"/>
      <c r="H94" s="324"/>
      <c r="I94" s="324"/>
      <c r="J94" s="324"/>
      <c r="K94" s="324"/>
      <c r="L94" s="324"/>
      <c r="M94" s="324"/>
      <c r="N94" s="324"/>
      <c r="O94" s="324"/>
      <c r="P94" s="324"/>
      <c r="Q94" s="554"/>
    </row>
    <row r="95" spans="2:17" x14ac:dyDescent="0.2">
      <c r="B95" s="561"/>
      <c r="C95" s="564"/>
      <c r="D95" s="565"/>
      <c r="E95" s="565"/>
      <c r="F95" s="565"/>
      <c r="G95" s="565"/>
      <c r="H95" s="565"/>
      <c r="I95" s="565"/>
      <c r="J95" s="565"/>
      <c r="K95" s="565"/>
      <c r="L95" s="565"/>
      <c r="M95" s="565"/>
      <c r="N95" s="565"/>
      <c r="O95" s="565"/>
      <c r="P95" s="565"/>
      <c r="Q95" s="566"/>
    </row>
    <row r="96" spans="2:17" x14ac:dyDescent="0.2">
      <c r="B96" s="553"/>
      <c r="C96" s="323"/>
      <c r="D96" s="324"/>
      <c r="E96" s="324"/>
      <c r="F96" s="324"/>
      <c r="G96" s="324"/>
      <c r="H96" s="324"/>
      <c r="I96" s="324"/>
      <c r="J96" s="324"/>
      <c r="K96" s="324"/>
      <c r="L96" s="324"/>
      <c r="M96" s="324"/>
      <c r="N96" s="324"/>
      <c r="O96" s="324"/>
      <c r="P96" s="324"/>
      <c r="Q96" s="554"/>
    </row>
    <row r="97" spans="2:17" ht="15.75" x14ac:dyDescent="0.25">
      <c r="B97" s="607" t="s">
        <v>328</v>
      </c>
      <c r="C97" s="323"/>
      <c r="D97" s="324"/>
      <c r="E97" s="324"/>
      <c r="F97" s="324"/>
      <c r="G97" s="324"/>
      <c r="H97" s="324"/>
      <c r="I97" s="324"/>
      <c r="J97" s="324"/>
      <c r="K97" s="324"/>
      <c r="L97" s="324"/>
      <c r="M97" s="324"/>
      <c r="N97" s="324"/>
      <c r="O97" s="324"/>
      <c r="P97" s="324"/>
      <c r="Q97" s="554"/>
    </row>
    <row r="98" spans="2:17" x14ac:dyDescent="0.2">
      <c r="B98" s="553" t="s">
        <v>218</v>
      </c>
      <c r="C98" s="323"/>
      <c r="D98" s="324"/>
      <c r="E98" s="558"/>
      <c r="F98" s="558"/>
      <c r="G98" s="558"/>
      <c r="H98" s="558"/>
      <c r="I98" s="558"/>
      <c r="J98" s="559"/>
      <c r="K98" s="324"/>
      <c r="L98" s="324"/>
      <c r="M98" s="324"/>
      <c r="N98" s="324"/>
      <c r="O98" s="324"/>
      <c r="P98" s="324"/>
      <c r="Q98" s="554"/>
    </row>
    <row r="99" spans="2:17" x14ac:dyDescent="0.2">
      <c r="B99" s="553" t="s">
        <v>219</v>
      </c>
      <c r="C99" s="323"/>
      <c r="D99" s="324"/>
      <c r="E99" s="324"/>
      <c r="F99" s="324"/>
      <c r="G99" s="324"/>
      <c r="H99" s="324"/>
      <c r="I99" s="324"/>
      <c r="J99" s="324"/>
      <c r="K99" s="324"/>
      <c r="L99" s="324"/>
      <c r="M99" s="324"/>
      <c r="N99" s="324"/>
      <c r="O99" s="324"/>
      <c r="P99" s="324"/>
      <c r="Q99" s="554"/>
    </row>
    <row r="100" spans="2:17" x14ac:dyDescent="0.2">
      <c r="B100" s="553" t="s">
        <v>329</v>
      </c>
      <c r="C100" s="323"/>
      <c r="D100" s="324"/>
      <c r="E100" s="324"/>
      <c r="F100" s="324"/>
      <c r="G100" s="324"/>
      <c r="H100" s="324"/>
      <c r="I100" s="324"/>
      <c r="J100" s="324"/>
      <c r="K100" s="324"/>
      <c r="L100" s="324"/>
      <c r="M100" s="324"/>
      <c r="N100" s="324"/>
      <c r="O100" s="324"/>
      <c r="P100" s="324"/>
      <c r="Q100" s="554"/>
    </row>
    <row r="101" spans="2:17" x14ac:dyDescent="0.2">
      <c r="B101" s="553"/>
      <c r="C101" s="323"/>
      <c r="D101" s="324"/>
      <c r="E101" s="324"/>
      <c r="F101" s="324"/>
      <c r="G101" s="324"/>
      <c r="H101" s="324"/>
      <c r="I101" s="324"/>
      <c r="J101" s="324"/>
      <c r="K101" s="324"/>
      <c r="L101" s="324"/>
      <c r="M101" s="324"/>
      <c r="N101" s="324"/>
      <c r="O101" s="324"/>
      <c r="P101" s="324"/>
      <c r="Q101" s="554"/>
    </row>
    <row r="102" spans="2:17" x14ac:dyDescent="0.2">
      <c r="B102" s="560" t="s">
        <v>330</v>
      </c>
      <c r="C102" s="323"/>
      <c r="D102" s="324"/>
      <c r="E102" s="324"/>
      <c r="F102" s="324"/>
      <c r="G102" s="324"/>
      <c r="H102" s="324"/>
      <c r="I102" s="324"/>
      <c r="J102" s="324"/>
      <c r="K102" s="324"/>
      <c r="L102" s="324"/>
      <c r="M102" s="324"/>
      <c r="N102" s="324"/>
      <c r="O102" s="324"/>
      <c r="P102" s="324"/>
      <c r="Q102" s="554"/>
    </row>
    <row r="103" spans="2:17" x14ac:dyDescent="0.2">
      <c r="B103" s="560" t="s">
        <v>331</v>
      </c>
      <c r="C103" s="323"/>
      <c r="D103" s="324"/>
      <c r="E103" s="324"/>
      <c r="F103" s="324"/>
      <c r="G103" s="324"/>
      <c r="H103" s="324"/>
      <c r="I103" s="324"/>
      <c r="J103" s="324"/>
      <c r="K103" s="324"/>
      <c r="L103" s="324"/>
      <c r="M103" s="324"/>
      <c r="N103" s="324"/>
      <c r="O103" s="324"/>
      <c r="P103" s="324"/>
      <c r="Q103" s="554"/>
    </row>
    <row r="104" spans="2:17" x14ac:dyDescent="0.2">
      <c r="B104" s="560"/>
      <c r="C104" s="323"/>
      <c r="D104" s="324"/>
      <c r="E104" s="324"/>
      <c r="F104" s="324"/>
      <c r="G104" s="324"/>
      <c r="H104" s="324"/>
      <c r="I104" s="324"/>
      <c r="J104" s="324"/>
      <c r="K104" s="324"/>
      <c r="L104" s="324"/>
      <c r="M104" s="324"/>
      <c r="N104" s="324"/>
      <c r="O104" s="324"/>
      <c r="P104" s="324"/>
      <c r="Q104" s="554"/>
    </row>
    <row r="105" spans="2:17" x14ac:dyDescent="0.2">
      <c r="B105" s="560" t="s">
        <v>220</v>
      </c>
      <c r="C105" s="323"/>
      <c r="D105" s="324"/>
      <c r="E105" s="324"/>
      <c r="F105" s="324"/>
      <c r="G105" s="324"/>
      <c r="H105" s="324"/>
      <c r="I105" s="324"/>
      <c r="J105" s="324"/>
      <c r="K105" s="324"/>
      <c r="L105" s="324"/>
      <c r="M105" s="324"/>
      <c r="N105" s="324"/>
      <c r="O105" s="324"/>
      <c r="P105" s="324"/>
      <c r="Q105" s="554"/>
    </row>
    <row r="106" spans="2:17" x14ac:dyDescent="0.2">
      <c r="B106" s="560" t="s">
        <v>221</v>
      </c>
      <c r="C106" s="323"/>
      <c r="D106" s="324"/>
      <c r="E106" s="324"/>
      <c r="F106" s="324"/>
      <c r="G106" s="324"/>
      <c r="H106" s="324"/>
      <c r="I106" s="324"/>
      <c r="J106" s="324"/>
      <c r="K106" s="324"/>
      <c r="L106" s="324"/>
      <c r="M106" s="324"/>
      <c r="N106" s="324"/>
      <c r="O106" s="324"/>
      <c r="P106" s="324"/>
      <c r="Q106" s="554"/>
    </row>
    <row r="107" spans="2:17" x14ac:dyDescent="0.2">
      <c r="B107" s="560" t="s">
        <v>222</v>
      </c>
      <c r="C107" s="323"/>
      <c r="D107" s="324"/>
      <c r="E107" s="324"/>
      <c r="F107" s="324"/>
      <c r="G107" s="324"/>
      <c r="H107" s="324"/>
      <c r="I107" s="324"/>
      <c r="J107" s="324"/>
      <c r="K107" s="324"/>
      <c r="L107" s="324"/>
      <c r="M107" s="324"/>
      <c r="N107" s="324"/>
      <c r="O107" s="324"/>
      <c r="P107" s="324"/>
      <c r="Q107" s="554"/>
    </row>
    <row r="108" spans="2:17" x14ac:dyDescent="0.2">
      <c r="B108" s="560"/>
      <c r="C108" s="323"/>
      <c r="D108" s="324"/>
      <c r="E108" s="324"/>
      <c r="F108" s="324"/>
      <c r="G108" s="324"/>
      <c r="H108" s="324"/>
      <c r="I108" s="324"/>
      <c r="J108" s="324"/>
      <c r="K108" s="324"/>
      <c r="L108" s="324"/>
      <c r="M108" s="324"/>
      <c r="N108" s="324"/>
      <c r="O108" s="324"/>
      <c r="P108" s="324"/>
      <c r="Q108" s="554"/>
    </row>
    <row r="109" spans="2:17" x14ac:dyDescent="0.2">
      <c r="B109" s="560" t="s">
        <v>223</v>
      </c>
      <c r="C109" s="323"/>
      <c r="D109" s="324"/>
      <c r="E109" s="324"/>
      <c r="F109" s="324"/>
      <c r="G109" s="324"/>
      <c r="H109" s="324"/>
      <c r="I109" s="324"/>
      <c r="J109" s="324"/>
      <c r="K109" s="324"/>
      <c r="L109" s="324"/>
      <c r="M109" s="324"/>
      <c r="N109" s="324"/>
      <c r="O109" s="324"/>
      <c r="P109" s="324"/>
      <c r="Q109" s="554"/>
    </row>
    <row r="110" spans="2:17" x14ac:dyDescent="0.2">
      <c r="B110" s="560" t="s">
        <v>224</v>
      </c>
      <c r="C110" s="323"/>
      <c r="D110" s="324"/>
      <c r="E110" s="324"/>
      <c r="F110" s="324"/>
      <c r="G110" s="324"/>
      <c r="H110" s="324"/>
      <c r="I110" s="324"/>
      <c r="J110" s="324"/>
      <c r="K110" s="324"/>
      <c r="L110" s="324"/>
      <c r="M110" s="324"/>
      <c r="N110" s="324"/>
      <c r="O110" s="324"/>
      <c r="P110" s="324"/>
      <c r="Q110" s="554"/>
    </row>
    <row r="111" spans="2:17" x14ac:dyDescent="0.2">
      <c r="B111" s="560" t="s">
        <v>225</v>
      </c>
      <c r="C111" s="323"/>
      <c r="D111" s="324"/>
      <c r="E111" s="324"/>
      <c r="F111" s="324"/>
      <c r="G111" s="324"/>
      <c r="H111" s="324"/>
      <c r="I111" s="324"/>
      <c r="J111" s="324"/>
      <c r="K111" s="324"/>
      <c r="L111" s="324"/>
      <c r="M111" s="324"/>
      <c r="N111" s="324"/>
      <c r="O111" s="324"/>
      <c r="P111" s="324"/>
      <c r="Q111" s="554"/>
    </row>
    <row r="112" spans="2:17" x14ac:dyDescent="0.2">
      <c r="B112" s="560" t="s">
        <v>226</v>
      </c>
      <c r="C112" s="323"/>
      <c r="D112" s="324"/>
      <c r="E112" s="324"/>
      <c r="F112" s="324"/>
      <c r="G112" s="324"/>
      <c r="H112" s="324"/>
      <c r="I112" s="324"/>
      <c r="J112" s="324"/>
      <c r="K112" s="324"/>
      <c r="L112" s="324"/>
      <c r="M112" s="324"/>
      <c r="N112" s="324"/>
      <c r="O112" s="324"/>
      <c r="P112" s="324"/>
      <c r="Q112" s="554"/>
    </row>
    <row r="113" spans="2:18" x14ac:dyDescent="0.2">
      <c r="B113" s="609"/>
      <c r="C113" s="564"/>
      <c r="D113" s="565"/>
      <c r="E113" s="565"/>
      <c r="F113" s="565"/>
      <c r="G113" s="565"/>
      <c r="H113" s="565"/>
      <c r="I113" s="565"/>
      <c r="J113" s="565"/>
      <c r="K113" s="565"/>
      <c r="L113" s="565"/>
      <c r="M113" s="565"/>
      <c r="N113" s="565"/>
      <c r="O113" s="565"/>
      <c r="P113" s="565"/>
      <c r="Q113" s="566"/>
    </row>
    <row r="114" spans="2:18" x14ac:dyDescent="0.2">
      <c r="B114" s="560"/>
      <c r="C114" s="323"/>
      <c r="D114" s="324"/>
      <c r="E114" s="324"/>
      <c r="F114" s="324"/>
      <c r="G114" s="324"/>
      <c r="H114" s="324"/>
      <c r="I114" s="324"/>
      <c r="J114" s="324"/>
      <c r="K114" s="324"/>
      <c r="L114" s="324"/>
      <c r="M114" s="324"/>
      <c r="N114" s="324"/>
      <c r="O114" s="324"/>
      <c r="P114" s="324"/>
      <c r="Q114" s="554"/>
    </row>
    <row r="115" spans="2:18" ht="15.75" x14ac:dyDescent="0.25">
      <c r="B115" s="607" t="s">
        <v>283</v>
      </c>
      <c r="C115" s="323"/>
      <c r="D115" s="324"/>
      <c r="E115" s="324"/>
      <c r="F115" s="324"/>
      <c r="G115" s="324"/>
      <c r="H115" s="324"/>
      <c r="I115" s="324"/>
      <c r="J115" s="324"/>
      <c r="K115" s="324"/>
      <c r="L115" s="324"/>
      <c r="M115" s="324"/>
      <c r="N115" s="324"/>
      <c r="O115" s="324"/>
      <c r="P115" s="324"/>
      <c r="Q115" s="554"/>
    </row>
    <row r="116" spans="2:18" x14ac:dyDescent="0.2">
      <c r="B116" s="606" t="s">
        <v>303</v>
      </c>
      <c r="C116" s="323"/>
      <c r="D116" s="324"/>
      <c r="E116" s="324"/>
      <c r="F116" s="324"/>
      <c r="G116" s="324"/>
      <c r="H116" s="324"/>
      <c r="I116" s="324"/>
      <c r="J116" s="324"/>
      <c r="K116" s="324"/>
      <c r="L116" s="324"/>
      <c r="M116" s="324"/>
      <c r="N116" s="324"/>
      <c r="O116" s="324"/>
      <c r="P116" s="324"/>
      <c r="Q116" s="554"/>
    </row>
    <row r="117" spans="2:18" x14ac:dyDescent="0.2">
      <c r="B117" s="553" t="s">
        <v>281</v>
      </c>
      <c r="C117" s="323"/>
      <c r="D117" s="324"/>
      <c r="E117" s="324"/>
      <c r="F117" s="324"/>
      <c r="G117" s="324"/>
      <c r="H117" s="324"/>
      <c r="I117" s="324"/>
      <c r="J117" s="324"/>
      <c r="K117" s="324"/>
      <c r="L117" s="324"/>
      <c r="M117" s="324"/>
      <c r="N117" s="324"/>
      <c r="O117" s="324"/>
      <c r="P117" s="324"/>
      <c r="Q117" s="554"/>
    </row>
    <row r="118" spans="2:18" x14ac:dyDescent="0.2">
      <c r="B118" s="553" t="s">
        <v>227</v>
      </c>
      <c r="C118" s="323"/>
      <c r="D118" s="324"/>
      <c r="E118" s="324"/>
      <c r="F118" s="324"/>
      <c r="G118" s="324"/>
      <c r="H118" s="324"/>
      <c r="I118" s="324"/>
      <c r="J118" s="324"/>
      <c r="K118" s="324"/>
      <c r="L118" s="324"/>
      <c r="M118" s="324"/>
      <c r="N118" s="324"/>
      <c r="O118" s="324"/>
      <c r="P118" s="324"/>
      <c r="Q118" s="554"/>
    </row>
    <row r="119" spans="2:18" x14ac:dyDescent="0.2">
      <c r="B119" s="553" t="s">
        <v>228</v>
      </c>
      <c r="C119" s="323"/>
      <c r="D119" s="324"/>
      <c r="E119" s="324"/>
      <c r="F119" s="324"/>
      <c r="G119" s="324"/>
      <c r="H119" s="324"/>
      <c r="I119" s="324"/>
      <c r="J119" s="324"/>
      <c r="K119" s="324"/>
      <c r="L119" s="324"/>
      <c r="M119" s="324"/>
      <c r="N119" s="324"/>
      <c r="O119" s="324"/>
      <c r="P119" s="324"/>
      <c r="Q119" s="554"/>
    </row>
    <row r="120" spans="2:18" x14ac:dyDescent="0.2">
      <c r="B120" s="553" t="s">
        <v>332</v>
      </c>
      <c r="C120" s="323"/>
      <c r="D120" s="324"/>
      <c r="E120" s="324"/>
      <c r="F120" s="324"/>
      <c r="G120" s="324"/>
      <c r="H120" s="324"/>
      <c r="I120" s="324"/>
      <c r="J120" s="324"/>
      <c r="K120" s="324"/>
      <c r="L120" s="324"/>
      <c r="M120" s="324"/>
      <c r="N120" s="324"/>
      <c r="O120" s="324"/>
      <c r="P120" s="324"/>
      <c r="Q120" s="554"/>
    </row>
    <row r="121" spans="2:18" x14ac:dyDescent="0.2">
      <c r="B121" s="553" t="s">
        <v>229</v>
      </c>
      <c r="C121" s="323"/>
      <c r="D121" s="324"/>
      <c r="E121" s="324"/>
      <c r="F121" s="324"/>
      <c r="G121" s="324"/>
      <c r="H121" s="324"/>
      <c r="I121" s="324"/>
      <c r="J121" s="324"/>
      <c r="K121" s="324"/>
      <c r="L121" s="324"/>
      <c r="M121" s="324"/>
      <c r="N121" s="324"/>
      <c r="O121" s="324"/>
      <c r="P121" s="324"/>
      <c r="Q121" s="554"/>
    </row>
    <row r="122" spans="2:18" x14ac:dyDescent="0.2">
      <c r="B122" s="553"/>
      <c r="C122" s="323"/>
      <c r="D122" s="324"/>
      <c r="E122" s="324"/>
      <c r="F122" s="324"/>
      <c r="G122" s="324"/>
      <c r="H122" s="324"/>
      <c r="I122" s="324"/>
      <c r="J122" s="324"/>
      <c r="K122" s="324"/>
      <c r="L122" s="324"/>
      <c r="M122" s="324"/>
      <c r="N122" s="324"/>
      <c r="O122" s="324"/>
      <c r="P122" s="324"/>
      <c r="Q122" s="554"/>
    </row>
    <row r="123" spans="2:18" x14ac:dyDescent="0.2">
      <c r="B123" s="606" t="s">
        <v>391</v>
      </c>
      <c r="C123" s="323"/>
      <c r="D123" s="324"/>
      <c r="E123" s="324"/>
      <c r="F123" s="324"/>
      <c r="G123" s="324"/>
      <c r="H123" s="324"/>
      <c r="I123" s="324"/>
      <c r="J123" s="324"/>
      <c r="K123" s="324"/>
      <c r="L123" s="324"/>
      <c r="M123" s="324"/>
      <c r="N123" s="324"/>
      <c r="O123" s="324"/>
      <c r="P123" s="324"/>
      <c r="Q123" s="554"/>
    </row>
    <row r="124" spans="2:18" x14ac:dyDescent="0.2">
      <c r="B124" s="553" t="s">
        <v>427</v>
      </c>
      <c r="C124" s="323"/>
      <c r="D124" s="324"/>
      <c r="E124" s="324"/>
      <c r="F124" s="324"/>
      <c r="G124" s="324"/>
      <c r="H124" s="324"/>
      <c r="I124" s="324"/>
      <c r="J124" s="324"/>
      <c r="K124" s="324"/>
      <c r="L124" s="324"/>
      <c r="M124" s="324"/>
      <c r="N124" s="324"/>
      <c r="O124" s="324"/>
      <c r="P124" s="324"/>
      <c r="Q124" s="554"/>
    </row>
    <row r="125" spans="2:18" x14ac:dyDescent="0.2">
      <c r="B125" s="553" t="s">
        <v>428</v>
      </c>
      <c r="C125" s="323"/>
      <c r="D125" s="324"/>
      <c r="E125" s="324"/>
      <c r="F125" s="324"/>
      <c r="G125" s="324"/>
      <c r="H125" s="324"/>
      <c r="I125" s="324"/>
      <c r="J125" s="324"/>
      <c r="K125" s="324"/>
      <c r="L125" s="324"/>
      <c r="M125" s="324"/>
      <c r="N125" s="324"/>
      <c r="O125" s="324"/>
      <c r="P125" s="324"/>
      <c r="Q125" s="554"/>
      <c r="R125" s="663"/>
    </row>
    <row r="126" spans="2:18" x14ac:dyDescent="0.2">
      <c r="B126" s="553" t="s">
        <v>431</v>
      </c>
      <c r="C126" s="323"/>
      <c r="D126" s="324"/>
      <c r="E126" s="324"/>
      <c r="F126" s="324"/>
      <c r="G126" s="324"/>
      <c r="H126" s="324"/>
      <c r="I126" s="324"/>
      <c r="J126" s="324"/>
      <c r="K126" s="324"/>
      <c r="L126" s="324"/>
      <c r="M126" s="324"/>
      <c r="N126" s="324"/>
      <c r="O126" s="324"/>
      <c r="P126" s="324"/>
      <c r="Q126" s="554"/>
      <c r="R126" s="663"/>
    </row>
    <row r="127" spans="2:18" x14ac:dyDescent="0.2">
      <c r="B127" s="553" t="s">
        <v>429</v>
      </c>
      <c r="C127" s="323"/>
      <c r="D127" s="324"/>
      <c r="E127" s="324"/>
      <c r="F127" s="324"/>
      <c r="G127" s="324"/>
      <c r="H127" s="324"/>
      <c r="I127" s="324"/>
      <c r="J127" s="324"/>
      <c r="K127" s="324"/>
      <c r="L127" s="324"/>
      <c r="M127" s="324"/>
      <c r="N127" s="324"/>
      <c r="O127" s="324"/>
      <c r="P127" s="324"/>
      <c r="Q127" s="554"/>
      <c r="R127" s="663"/>
    </row>
    <row r="128" spans="2:18" x14ac:dyDescent="0.2">
      <c r="B128" s="553" t="s">
        <v>430</v>
      </c>
      <c r="C128" s="323"/>
      <c r="D128" s="324"/>
      <c r="E128" s="324"/>
      <c r="F128" s="324"/>
      <c r="G128" s="324"/>
      <c r="H128" s="324"/>
      <c r="I128" s="324"/>
      <c r="J128" s="324"/>
      <c r="K128" s="324"/>
      <c r="L128" s="324"/>
      <c r="M128" s="324"/>
      <c r="N128" s="324"/>
      <c r="O128" s="324"/>
      <c r="P128" s="324"/>
      <c r="Q128" s="554"/>
      <c r="R128" s="663"/>
    </row>
    <row r="129" spans="2:18" x14ac:dyDescent="0.2">
      <c r="B129" s="553" t="s">
        <v>426</v>
      </c>
      <c r="C129" s="323"/>
      <c r="D129" s="324"/>
      <c r="E129" s="324"/>
      <c r="F129" s="324"/>
      <c r="G129" s="324"/>
      <c r="H129" s="324"/>
      <c r="I129" s="324"/>
      <c r="J129" s="324"/>
      <c r="K129" s="324"/>
      <c r="L129" s="324"/>
      <c r="M129" s="324"/>
      <c r="N129" s="324"/>
      <c r="O129" s="324"/>
      <c r="P129" s="324"/>
      <c r="Q129" s="554"/>
      <c r="R129" s="663"/>
    </row>
    <row r="130" spans="2:18" x14ac:dyDescent="0.2">
      <c r="B130" s="553" t="s">
        <v>425</v>
      </c>
      <c r="C130" s="323"/>
      <c r="D130" s="324"/>
      <c r="E130" s="324"/>
      <c r="F130" s="324"/>
      <c r="G130" s="324"/>
      <c r="H130" s="324"/>
      <c r="I130" s="324"/>
      <c r="J130" s="324"/>
      <c r="K130" s="324"/>
      <c r="L130" s="324"/>
      <c r="M130" s="324"/>
      <c r="N130" s="324"/>
      <c r="O130" s="324"/>
      <c r="P130" s="324"/>
      <c r="Q130" s="554"/>
      <c r="R130" s="663"/>
    </row>
    <row r="131" spans="2:18" x14ac:dyDescent="0.2">
      <c r="B131" s="553" t="s">
        <v>424</v>
      </c>
      <c r="C131" s="323"/>
      <c r="D131" s="324"/>
      <c r="E131" s="324"/>
      <c r="F131" s="324"/>
      <c r="G131" s="324"/>
      <c r="H131" s="324"/>
      <c r="I131" s="324"/>
      <c r="J131" s="324"/>
      <c r="K131" s="324"/>
      <c r="L131" s="324"/>
      <c r="M131" s="324"/>
      <c r="N131" s="324"/>
      <c r="O131" s="324"/>
      <c r="P131" s="324"/>
      <c r="Q131" s="554"/>
      <c r="R131" s="663"/>
    </row>
    <row r="132" spans="2:18" x14ac:dyDescent="0.2">
      <c r="B132" s="553"/>
      <c r="C132" s="323"/>
      <c r="D132" s="324"/>
      <c r="E132" s="324"/>
      <c r="F132" s="324"/>
      <c r="G132" s="324"/>
      <c r="H132" s="324"/>
      <c r="I132" s="324"/>
      <c r="J132" s="324"/>
      <c r="K132" s="324"/>
      <c r="L132" s="324"/>
      <c r="M132" s="324"/>
      <c r="N132" s="324"/>
      <c r="O132" s="324"/>
      <c r="P132" s="324"/>
      <c r="Q132" s="554"/>
      <c r="R132" s="663"/>
    </row>
    <row r="133" spans="2:18" x14ac:dyDescent="0.2">
      <c r="B133" s="662" t="s">
        <v>383</v>
      </c>
      <c r="C133" s="663"/>
      <c r="D133" s="663"/>
      <c r="E133" s="663"/>
      <c r="F133" s="663"/>
      <c r="G133" s="663"/>
      <c r="H133" s="663"/>
      <c r="I133" s="663"/>
      <c r="J133" s="663"/>
      <c r="K133" s="663"/>
      <c r="L133" s="663"/>
      <c r="M133" s="663"/>
      <c r="N133" s="663"/>
      <c r="O133" s="663"/>
      <c r="P133" s="663"/>
      <c r="Q133" s="635"/>
      <c r="R133" s="663"/>
    </row>
    <row r="134" spans="2:18" x14ac:dyDescent="0.2">
      <c r="B134" s="662" t="s">
        <v>384</v>
      </c>
      <c r="C134" s="663"/>
      <c r="D134" s="663"/>
      <c r="E134" s="663"/>
      <c r="F134" s="663"/>
      <c r="G134" s="663"/>
      <c r="H134" s="663"/>
      <c r="I134" s="663"/>
      <c r="J134" s="663"/>
      <c r="K134" s="663"/>
      <c r="L134" s="663"/>
      <c r="M134" s="663"/>
      <c r="N134" s="663"/>
      <c r="O134" s="663"/>
      <c r="P134" s="663"/>
      <c r="Q134" s="635"/>
      <c r="R134" s="663"/>
    </row>
    <row r="135" spans="2:18" x14ac:dyDescent="0.2">
      <c r="B135" s="662" t="s">
        <v>385</v>
      </c>
      <c r="C135" s="663"/>
      <c r="D135" s="663"/>
      <c r="E135" s="663"/>
      <c r="F135" s="663"/>
      <c r="G135" s="663"/>
      <c r="H135" s="663"/>
      <c r="I135" s="663"/>
      <c r="J135" s="663"/>
      <c r="K135" s="663"/>
      <c r="L135" s="663"/>
      <c r="M135" s="663"/>
      <c r="N135" s="663"/>
      <c r="O135" s="663"/>
      <c r="P135" s="663"/>
      <c r="Q135" s="635"/>
      <c r="R135" s="663"/>
    </row>
    <row r="136" spans="2:18" x14ac:dyDescent="0.2">
      <c r="B136" s="662" t="s">
        <v>386</v>
      </c>
      <c r="C136" s="663"/>
      <c r="D136" s="663"/>
      <c r="E136" s="663"/>
      <c r="F136" s="663"/>
      <c r="G136" s="663"/>
      <c r="H136" s="663"/>
      <c r="I136" s="663"/>
      <c r="J136" s="663"/>
      <c r="K136" s="663"/>
      <c r="L136" s="663"/>
      <c r="M136" s="663"/>
      <c r="N136" s="663"/>
      <c r="O136" s="663"/>
      <c r="P136" s="663"/>
      <c r="Q136" s="635"/>
      <c r="R136" s="663"/>
    </row>
    <row r="137" spans="2:18" x14ac:dyDescent="0.2">
      <c r="B137" s="662"/>
      <c r="C137" s="663"/>
      <c r="D137" s="663"/>
      <c r="E137" s="663"/>
      <c r="F137" s="663"/>
      <c r="G137" s="663"/>
      <c r="H137" s="663"/>
      <c r="I137" s="663"/>
      <c r="J137" s="663"/>
      <c r="K137" s="663"/>
      <c r="L137" s="663"/>
      <c r="M137" s="663"/>
      <c r="N137" s="663"/>
      <c r="O137" s="663"/>
      <c r="P137" s="663"/>
      <c r="Q137" s="635"/>
      <c r="R137" s="663"/>
    </row>
    <row r="138" spans="2:18" x14ac:dyDescent="0.2">
      <c r="B138" s="662" t="s">
        <v>438</v>
      </c>
      <c r="C138" s="663"/>
      <c r="D138" s="663"/>
      <c r="E138" s="663"/>
      <c r="F138" s="663"/>
      <c r="G138" s="663"/>
      <c r="H138" s="663"/>
      <c r="I138" s="663"/>
      <c r="J138" s="663"/>
      <c r="K138" s="663"/>
      <c r="L138" s="663"/>
      <c r="M138" s="663"/>
      <c r="N138" s="663"/>
      <c r="O138" s="663"/>
      <c r="P138" s="663"/>
      <c r="Q138" s="635"/>
      <c r="R138" s="663"/>
    </row>
    <row r="139" spans="2:18" x14ac:dyDescent="0.2">
      <c r="B139" s="662" t="s">
        <v>394</v>
      </c>
      <c r="C139" s="663"/>
      <c r="D139" s="663"/>
      <c r="E139" s="663"/>
      <c r="F139" s="663"/>
      <c r="G139" s="663"/>
      <c r="H139" s="663"/>
      <c r="I139" s="663"/>
      <c r="J139" s="663"/>
      <c r="K139" s="663"/>
      <c r="L139" s="663"/>
      <c r="M139" s="663"/>
      <c r="N139" s="663"/>
      <c r="O139" s="663"/>
      <c r="P139" s="663"/>
      <c r="Q139" s="635"/>
      <c r="R139" s="663"/>
    </row>
    <row r="140" spans="2:18" x14ac:dyDescent="0.2">
      <c r="B140" s="662" t="s">
        <v>387</v>
      </c>
      <c r="C140" s="663"/>
      <c r="D140" s="663"/>
      <c r="E140" s="663"/>
      <c r="F140" s="663"/>
      <c r="G140" s="663"/>
      <c r="H140" s="663"/>
      <c r="I140" s="663"/>
      <c r="J140" s="663"/>
      <c r="K140" s="663"/>
      <c r="L140" s="663"/>
      <c r="M140" s="663"/>
      <c r="N140" s="663"/>
      <c r="O140" s="663"/>
      <c r="P140" s="663"/>
      <c r="Q140" s="635"/>
    </row>
    <row r="141" spans="2:18" x14ac:dyDescent="0.2">
      <c r="B141" s="662" t="s">
        <v>393</v>
      </c>
      <c r="C141" s="663"/>
      <c r="D141" s="663"/>
      <c r="E141" s="663"/>
      <c r="F141" s="663"/>
      <c r="G141" s="663"/>
      <c r="H141" s="663"/>
      <c r="I141" s="663"/>
      <c r="J141" s="663"/>
      <c r="K141" s="663"/>
      <c r="L141" s="663"/>
      <c r="M141" s="663"/>
      <c r="N141" s="663"/>
      <c r="O141" s="663"/>
      <c r="P141" s="663"/>
      <c r="Q141" s="635"/>
    </row>
    <row r="142" spans="2:18" x14ac:dyDescent="0.2">
      <c r="B142" s="662" t="s">
        <v>388</v>
      </c>
      <c r="C142" s="663"/>
      <c r="D142" s="663"/>
      <c r="E142" s="663"/>
      <c r="F142" s="663"/>
      <c r="G142" s="663"/>
      <c r="H142" s="663"/>
      <c r="I142" s="663"/>
      <c r="J142" s="663"/>
      <c r="K142" s="663"/>
      <c r="L142" s="663"/>
      <c r="M142" s="663"/>
      <c r="N142" s="663"/>
      <c r="O142" s="663"/>
      <c r="P142" s="663"/>
      <c r="Q142" s="635"/>
    </row>
    <row r="143" spans="2:18" x14ac:dyDescent="0.2">
      <c r="B143" s="662"/>
      <c r="C143" s="663"/>
      <c r="D143" s="663"/>
      <c r="E143" s="663"/>
      <c r="F143" s="663"/>
      <c r="G143" s="663"/>
      <c r="H143" s="663"/>
      <c r="I143" s="663"/>
      <c r="J143" s="663"/>
      <c r="K143" s="663"/>
      <c r="L143" s="663"/>
      <c r="M143" s="663"/>
      <c r="N143" s="663"/>
      <c r="O143" s="663"/>
      <c r="P143" s="663"/>
      <c r="Q143" s="635"/>
    </row>
    <row r="144" spans="2:18" x14ac:dyDescent="0.2">
      <c r="B144" s="662" t="s">
        <v>390</v>
      </c>
      <c r="C144" s="663"/>
      <c r="D144" s="663"/>
      <c r="E144" s="663"/>
      <c r="F144" s="663"/>
      <c r="G144" s="663"/>
      <c r="H144" s="663"/>
      <c r="I144" s="663"/>
      <c r="J144" s="663"/>
      <c r="K144" s="663"/>
      <c r="L144" s="663"/>
      <c r="M144" s="663"/>
      <c r="N144" s="663"/>
      <c r="O144" s="663"/>
      <c r="P144" s="663"/>
      <c r="Q144" s="635"/>
    </row>
    <row r="145" spans="2:17" x14ac:dyDescent="0.2">
      <c r="B145" s="662" t="s">
        <v>423</v>
      </c>
      <c r="C145" s="663"/>
      <c r="D145" s="663"/>
      <c r="E145" s="663"/>
      <c r="F145" s="663"/>
      <c r="G145" s="663"/>
      <c r="H145" s="663"/>
      <c r="I145" s="663"/>
      <c r="J145" s="663"/>
      <c r="K145" s="663"/>
      <c r="L145" s="663"/>
      <c r="M145" s="663"/>
      <c r="N145" s="663"/>
      <c r="O145" s="663"/>
      <c r="P145" s="663"/>
      <c r="Q145" s="635"/>
    </row>
    <row r="146" spans="2:17" x14ac:dyDescent="0.2">
      <c r="B146" s="662" t="s">
        <v>389</v>
      </c>
      <c r="C146" s="663"/>
      <c r="D146" s="663"/>
      <c r="E146" s="663"/>
      <c r="F146" s="663"/>
      <c r="G146" s="663"/>
      <c r="H146" s="663"/>
      <c r="I146" s="663"/>
      <c r="J146" s="663"/>
      <c r="K146" s="663"/>
      <c r="L146" s="663"/>
      <c r="M146" s="663"/>
      <c r="N146" s="663"/>
      <c r="O146" s="663"/>
      <c r="P146" s="663"/>
      <c r="Q146" s="635"/>
    </row>
    <row r="147" spans="2:17" x14ac:dyDescent="0.2">
      <c r="B147" s="662"/>
      <c r="C147" s="663"/>
      <c r="D147" s="663"/>
      <c r="E147" s="663"/>
      <c r="F147" s="663"/>
      <c r="G147" s="663"/>
      <c r="H147" s="663"/>
      <c r="I147" s="663"/>
      <c r="J147" s="663"/>
      <c r="K147" s="663"/>
      <c r="L147" s="663"/>
      <c r="M147" s="663"/>
      <c r="N147" s="663"/>
      <c r="O147" s="663"/>
      <c r="P147" s="663"/>
      <c r="Q147" s="635"/>
    </row>
    <row r="148" spans="2:17" x14ac:dyDescent="0.2">
      <c r="B148" s="662" t="s">
        <v>441</v>
      </c>
      <c r="C148" s="663"/>
      <c r="D148" s="663"/>
      <c r="E148" s="663"/>
      <c r="F148" s="663"/>
      <c r="G148" s="663"/>
      <c r="H148" s="663"/>
      <c r="I148" s="663"/>
      <c r="J148" s="663"/>
      <c r="K148" s="663"/>
      <c r="L148" s="663"/>
      <c r="M148" s="663"/>
      <c r="N148" s="663"/>
      <c r="O148" s="663"/>
      <c r="P148" s="663"/>
      <c r="Q148" s="635"/>
    </row>
    <row r="149" spans="2:17" x14ac:dyDescent="0.2">
      <c r="B149" s="662" t="s">
        <v>440</v>
      </c>
      <c r="C149" s="663"/>
      <c r="D149" s="663"/>
      <c r="E149" s="663"/>
      <c r="F149" s="663"/>
      <c r="G149" s="663"/>
      <c r="H149" s="663"/>
      <c r="I149" s="663"/>
      <c r="J149" s="663"/>
      <c r="K149" s="663"/>
      <c r="L149" s="663"/>
      <c r="M149" s="663"/>
      <c r="N149" s="663"/>
      <c r="O149" s="663"/>
      <c r="P149" s="663"/>
      <c r="Q149" s="635"/>
    </row>
    <row r="150" spans="2:17" x14ac:dyDescent="0.2">
      <c r="B150" s="557"/>
      <c r="C150" s="323"/>
      <c r="D150" s="324"/>
      <c r="E150" s="324"/>
      <c r="F150" s="324"/>
      <c r="G150" s="324"/>
      <c r="H150" s="324"/>
      <c r="I150" s="324"/>
      <c r="J150" s="324"/>
      <c r="K150" s="324"/>
      <c r="L150" s="324"/>
      <c r="M150" s="324"/>
      <c r="N150" s="324"/>
      <c r="O150" s="324"/>
      <c r="P150" s="324"/>
      <c r="Q150" s="554"/>
    </row>
    <row r="151" spans="2:17" x14ac:dyDescent="0.2">
      <c r="B151" s="606" t="s">
        <v>392</v>
      </c>
      <c r="C151" s="323"/>
      <c r="D151" s="324"/>
      <c r="E151" s="324"/>
      <c r="F151" s="324"/>
      <c r="G151" s="324"/>
      <c r="H151" s="324"/>
      <c r="I151" s="324"/>
      <c r="J151" s="324"/>
      <c r="K151" s="324"/>
      <c r="L151" s="324"/>
      <c r="M151" s="324"/>
      <c r="N151" s="324"/>
      <c r="O151" s="324"/>
      <c r="P151" s="324"/>
      <c r="Q151" s="554"/>
    </row>
    <row r="152" spans="2:17" x14ac:dyDescent="0.2">
      <c r="B152" s="553" t="s">
        <v>421</v>
      </c>
      <c r="C152" s="323"/>
      <c r="D152" s="324"/>
      <c r="E152" s="324"/>
      <c r="F152" s="324"/>
      <c r="G152" s="324"/>
      <c r="H152" s="324"/>
      <c r="I152" s="324"/>
      <c r="J152" s="324"/>
      <c r="K152" s="324"/>
      <c r="L152" s="324"/>
      <c r="M152" s="324"/>
      <c r="N152" s="324"/>
      <c r="O152" s="324"/>
      <c r="P152" s="324"/>
      <c r="Q152" s="554"/>
    </row>
    <row r="153" spans="2:17" x14ac:dyDescent="0.2">
      <c r="B153" s="561"/>
      <c r="C153" s="564"/>
      <c r="D153" s="565"/>
      <c r="E153" s="565"/>
      <c r="F153" s="565"/>
      <c r="G153" s="565"/>
      <c r="H153" s="565"/>
      <c r="I153" s="565"/>
      <c r="J153" s="565"/>
      <c r="K153" s="565"/>
      <c r="L153" s="565"/>
      <c r="M153" s="565"/>
      <c r="N153" s="565"/>
      <c r="O153" s="565"/>
      <c r="P153" s="565"/>
      <c r="Q153" s="566"/>
    </row>
    <row r="154" spans="2:17" x14ac:dyDescent="0.2">
      <c r="B154" s="553"/>
      <c r="C154" s="323"/>
      <c r="D154" s="324"/>
      <c r="E154" s="324"/>
      <c r="F154" s="324"/>
      <c r="G154" s="324"/>
      <c r="H154" s="324"/>
      <c r="I154" s="324"/>
      <c r="J154" s="324"/>
      <c r="K154" s="324"/>
      <c r="L154" s="324"/>
      <c r="M154" s="324"/>
      <c r="N154" s="324"/>
      <c r="O154" s="324"/>
      <c r="P154" s="324"/>
      <c r="Q154" s="554"/>
    </row>
    <row r="155" spans="2:17" ht="15.75" x14ac:dyDescent="0.25">
      <c r="B155" s="607" t="s">
        <v>400</v>
      </c>
      <c r="C155" s="323"/>
      <c r="D155" s="324"/>
      <c r="E155" s="324"/>
      <c r="F155" s="324"/>
      <c r="G155" s="324"/>
      <c r="H155" s="324"/>
      <c r="I155" s="324"/>
      <c r="J155" s="324"/>
      <c r="K155" s="324"/>
      <c r="L155" s="324"/>
      <c r="M155" s="324"/>
      <c r="N155" s="324"/>
      <c r="O155" s="324"/>
      <c r="P155" s="324"/>
      <c r="Q155" s="554"/>
    </row>
    <row r="156" spans="2:17" x14ac:dyDescent="0.2">
      <c r="B156" s="553" t="s">
        <v>413</v>
      </c>
      <c r="C156" s="323"/>
      <c r="D156" s="324"/>
      <c r="E156" s="324"/>
      <c r="F156" s="324"/>
      <c r="G156" s="324"/>
      <c r="H156" s="324"/>
      <c r="I156" s="324"/>
      <c r="J156" s="324"/>
      <c r="K156" s="324"/>
      <c r="L156" s="324"/>
      <c r="M156" s="324"/>
      <c r="N156" s="324"/>
      <c r="O156" s="324"/>
      <c r="P156" s="324"/>
      <c r="Q156" s="554"/>
    </row>
    <row r="157" spans="2:17" x14ac:dyDescent="0.2">
      <c r="B157" s="553" t="s">
        <v>230</v>
      </c>
      <c r="C157" s="323"/>
      <c r="D157" s="324"/>
      <c r="E157" s="324"/>
      <c r="F157" s="324"/>
      <c r="G157" s="324"/>
      <c r="H157" s="324"/>
      <c r="I157" s="324"/>
      <c r="J157" s="324"/>
      <c r="K157" s="324"/>
      <c r="L157" s="324"/>
      <c r="M157" s="324"/>
      <c r="N157" s="324"/>
      <c r="O157" s="324"/>
      <c r="P157" s="324"/>
      <c r="Q157" s="554"/>
    </row>
    <row r="158" spans="2:17" x14ac:dyDescent="0.2">
      <c r="B158" s="560" t="s">
        <v>231</v>
      </c>
      <c r="C158" s="323"/>
      <c r="D158" s="324"/>
      <c r="E158" s="324"/>
      <c r="F158" s="324"/>
      <c r="G158" s="324"/>
      <c r="H158" s="324"/>
      <c r="I158" s="324"/>
      <c r="J158" s="324"/>
      <c r="K158" s="324"/>
      <c r="L158" s="324"/>
      <c r="M158" s="324"/>
      <c r="N158" s="324"/>
      <c r="O158" s="324"/>
      <c r="P158" s="324"/>
      <c r="Q158" s="554"/>
    </row>
    <row r="159" spans="2:17" x14ac:dyDescent="0.2">
      <c r="B159" s="553" t="s">
        <v>232</v>
      </c>
      <c r="C159" s="323"/>
      <c r="D159" s="324"/>
      <c r="E159" s="324"/>
      <c r="F159" s="324"/>
      <c r="G159" s="324"/>
      <c r="H159" s="324"/>
      <c r="I159" s="324"/>
      <c r="J159" s="324"/>
      <c r="K159" s="324"/>
      <c r="L159" s="324"/>
      <c r="M159" s="324"/>
      <c r="N159" s="324"/>
      <c r="O159" s="324"/>
      <c r="P159" s="324"/>
      <c r="Q159" s="554"/>
    </row>
    <row r="160" spans="2:17" x14ac:dyDescent="0.2">
      <c r="B160" s="553"/>
      <c r="C160" s="323"/>
      <c r="D160" s="324"/>
      <c r="E160" s="324"/>
      <c r="F160" s="324"/>
      <c r="G160" s="324"/>
      <c r="H160" s="324"/>
      <c r="I160" s="324"/>
      <c r="J160" s="324"/>
      <c r="K160" s="324"/>
      <c r="L160" s="324"/>
      <c r="M160" s="324"/>
      <c r="N160" s="324"/>
      <c r="O160" s="324"/>
      <c r="P160" s="324"/>
      <c r="Q160" s="554"/>
    </row>
    <row r="161" spans="1:17" x14ac:dyDescent="0.2">
      <c r="B161" s="557" t="s">
        <v>275</v>
      </c>
      <c r="C161" s="323"/>
      <c r="D161" s="324"/>
      <c r="E161" s="324"/>
      <c r="F161" s="324"/>
      <c r="G161" s="324"/>
      <c r="H161" s="324"/>
      <c r="I161" s="324"/>
      <c r="J161" s="324"/>
      <c r="K161" s="324"/>
      <c r="L161" s="324"/>
      <c r="M161" s="324"/>
      <c r="N161" s="324"/>
      <c r="O161" s="324"/>
      <c r="P161" s="324"/>
      <c r="Q161" s="554"/>
    </row>
    <row r="162" spans="1:17" x14ac:dyDescent="0.2">
      <c r="B162" s="553" t="s">
        <v>276</v>
      </c>
      <c r="C162" s="323"/>
      <c r="D162" s="324"/>
      <c r="E162" s="324"/>
      <c r="F162" s="324"/>
      <c r="G162" s="324"/>
      <c r="H162" s="324"/>
      <c r="I162" s="324"/>
      <c r="J162" s="324"/>
      <c r="K162" s="324"/>
      <c r="L162" s="324"/>
      <c r="M162" s="324"/>
      <c r="N162" s="324"/>
      <c r="O162" s="324"/>
      <c r="P162" s="324"/>
      <c r="Q162" s="554"/>
    </row>
    <row r="163" spans="1:17" x14ac:dyDescent="0.2">
      <c r="B163" s="561"/>
      <c r="C163" s="564"/>
      <c r="D163" s="565"/>
      <c r="E163" s="565"/>
      <c r="F163" s="565"/>
      <c r="G163" s="565"/>
      <c r="H163" s="565"/>
      <c r="I163" s="565"/>
      <c r="J163" s="565"/>
      <c r="K163" s="565"/>
      <c r="L163" s="565"/>
      <c r="M163" s="565"/>
      <c r="N163" s="565"/>
      <c r="O163" s="565"/>
      <c r="P163" s="565"/>
      <c r="Q163" s="566"/>
    </row>
    <row r="164" spans="1:17" x14ac:dyDescent="0.2">
      <c r="B164" s="553"/>
      <c r="C164" s="323"/>
      <c r="D164" s="324"/>
      <c r="E164" s="324"/>
      <c r="F164" s="324"/>
      <c r="G164" s="324"/>
      <c r="H164" s="324"/>
      <c r="I164" s="324"/>
      <c r="J164" s="324"/>
      <c r="K164" s="324"/>
      <c r="L164" s="324"/>
      <c r="M164" s="324"/>
      <c r="N164" s="324"/>
      <c r="O164" s="324"/>
      <c r="P164" s="324"/>
      <c r="Q164" s="554"/>
    </row>
    <row r="165" spans="1:17" ht="15.75" x14ac:dyDescent="0.25">
      <c r="A165" s="611"/>
      <c r="B165" s="607" t="s">
        <v>282</v>
      </c>
      <c r="C165" s="323"/>
      <c r="D165" s="324"/>
      <c r="E165" s="324"/>
      <c r="F165" s="324"/>
      <c r="G165" s="324"/>
      <c r="H165" s="324"/>
      <c r="I165" s="324"/>
      <c r="J165" s="324"/>
      <c r="K165" s="324"/>
      <c r="L165" s="324"/>
      <c r="M165" s="324"/>
      <c r="N165" s="324"/>
      <c r="O165" s="324"/>
      <c r="P165" s="324"/>
      <c r="Q165" s="554"/>
    </row>
    <row r="166" spans="1:17" x14ac:dyDescent="0.2">
      <c r="B166" s="560" t="s">
        <v>289</v>
      </c>
      <c r="C166" s="323"/>
      <c r="D166" s="324"/>
      <c r="E166" s="324"/>
      <c r="F166" s="324"/>
      <c r="G166" s="324"/>
      <c r="H166" s="324"/>
      <c r="I166" s="324"/>
      <c r="J166" s="324"/>
      <c r="K166" s="324"/>
      <c r="L166" s="324"/>
      <c r="M166" s="324"/>
      <c r="N166" s="324"/>
      <c r="O166" s="324"/>
      <c r="P166" s="324"/>
      <c r="Q166" s="554"/>
    </row>
    <row r="167" spans="1:17" x14ac:dyDescent="0.2">
      <c r="B167" s="560" t="s">
        <v>333</v>
      </c>
      <c r="C167" s="323"/>
      <c r="D167" s="324"/>
      <c r="E167" s="324"/>
      <c r="F167" s="324"/>
      <c r="G167" s="324"/>
      <c r="H167" s="324"/>
      <c r="I167" s="324"/>
      <c r="J167" s="324"/>
      <c r="K167" s="324"/>
      <c r="L167" s="324"/>
      <c r="M167" s="324"/>
      <c r="N167" s="324"/>
      <c r="O167" s="324"/>
      <c r="P167" s="324"/>
      <c r="Q167" s="554"/>
    </row>
    <row r="168" spans="1:17" x14ac:dyDescent="0.2">
      <c r="B168" s="553" t="s">
        <v>334</v>
      </c>
      <c r="C168" s="323"/>
      <c r="D168" s="324"/>
      <c r="E168" s="324"/>
      <c r="F168" s="324"/>
      <c r="G168" s="324"/>
      <c r="H168" s="324"/>
      <c r="I168" s="324"/>
      <c r="J168" s="324"/>
      <c r="K168" s="324"/>
      <c r="L168" s="324"/>
      <c r="M168" s="324"/>
      <c r="N168" s="324"/>
      <c r="O168" s="324"/>
      <c r="P168" s="324"/>
      <c r="Q168" s="554"/>
    </row>
    <row r="169" spans="1:17" x14ac:dyDescent="0.2">
      <c r="B169" s="553" t="s">
        <v>233</v>
      </c>
      <c r="C169" s="323"/>
      <c r="D169" s="324"/>
      <c r="E169" s="324"/>
      <c r="F169" s="324"/>
      <c r="G169" s="324"/>
      <c r="H169" s="324"/>
      <c r="I169" s="324"/>
      <c r="J169" s="324"/>
      <c r="K169" s="324"/>
      <c r="L169" s="324"/>
      <c r="M169" s="324"/>
      <c r="N169" s="324"/>
      <c r="O169" s="324"/>
      <c r="P169" s="324"/>
      <c r="Q169" s="554"/>
    </row>
    <row r="170" spans="1:17" x14ac:dyDescent="0.2">
      <c r="B170" s="561"/>
      <c r="C170" s="564"/>
      <c r="D170" s="565"/>
      <c r="E170" s="565"/>
      <c r="F170" s="565"/>
      <c r="G170" s="565"/>
      <c r="H170" s="565"/>
      <c r="I170" s="565"/>
      <c r="J170" s="565"/>
      <c r="K170" s="565"/>
      <c r="L170" s="565"/>
      <c r="M170" s="565"/>
      <c r="N170" s="565"/>
      <c r="O170" s="565"/>
      <c r="P170" s="565"/>
      <c r="Q170" s="566"/>
    </row>
    <row r="171" spans="1:17" x14ac:dyDescent="0.2">
      <c r="B171" s="553"/>
      <c r="C171" s="323"/>
      <c r="D171" s="324"/>
      <c r="E171" s="324"/>
      <c r="F171" s="324"/>
      <c r="G171" s="324"/>
      <c r="H171" s="324"/>
      <c r="I171" s="324"/>
      <c r="J171" s="324"/>
      <c r="K171" s="324"/>
      <c r="L171" s="324"/>
      <c r="M171" s="324"/>
      <c r="N171" s="324"/>
      <c r="O171" s="324"/>
      <c r="P171" s="324"/>
      <c r="Q171" s="554"/>
    </row>
    <row r="172" spans="1:17" ht="15.75" x14ac:dyDescent="0.25">
      <c r="B172" s="607" t="s">
        <v>284</v>
      </c>
      <c r="C172" s="323"/>
      <c r="D172" s="324"/>
      <c r="E172" s="324"/>
      <c r="F172" s="324"/>
      <c r="G172" s="324"/>
      <c r="H172" s="324"/>
      <c r="I172" s="324"/>
      <c r="J172" s="324"/>
      <c r="K172" s="324"/>
      <c r="L172" s="324"/>
      <c r="M172" s="324"/>
      <c r="N172" s="324"/>
      <c r="O172" s="324"/>
      <c r="P172" s="324"/>
      <c r="Q172" s="554"/>
    </row>
    <row r="173" spans="1:17" x14ac:dyDescent="0.2">
      <c r="B173" s="560" t="s">
        <v>336</v>
      </c>
      <c r="C173" s="323"/>
      <c r="D173" s="324"/>
      <c r="E173" s="324"/>
      <c r="F173" s="324"/>
      <c r="G173" s="324"/>
      <c r="H173" s="324"/>
      <c r="I173" s="324"/>
      <c r="J173" s="324"/>
      <c r="K173" s="324"/>
      <c r="L173" s="324"/>
      <c r="M173" s="324"/>
      <c r="N173" s="324"/>
      <c r="O173" s="324"/>
      <c r="P173" s="324"/>
      <c r="Q173" s="554"/>
    </row>
    <row r="174" spans="1:17" x14ac:dyDescent="0.2">
      <c r="B174" s="562" t="s">
        <v>335</v>
      </c>
      <c r="C174" s="323"/>
      <c r="D174" s="324"/>
      <c r="E174" s="324"/>
      <c r="F174" s="324"/>
      <c r="G174" s="324"/>
      <c r="H174" s="324"/>
      <c r="I174" s="324"/>
      <c r="J174" s="324"/>
      <c r="K174" s="324"/>
      <c r="L174" s="324"/>
      <c r="M174" s="324"/>
      <c r="N174" s="324"/>
      <c r="O174" s="324"/>
      <c r="P174" s="324"/>
      <c r="Q174" s="554"/>
    </row>
    <row r="175" spans="1:17" x14ac:dyDescent="0.2">
      <c r="B175" s="560" t="s">
        <v>234</v>
      </c>
      <c r="C175" s="323"/>
      <c r="D175" s="324"/>
      <c r="E175" s="324"/>
      <c r="F175" s="324"/>
      <c r="G175" s="324"/>
      <c r="H175" s="324"/>
      <c r="I175" s="324"/>
      <c r="J175" s="324"/>
      <c r="K175" s="324"/>
      <c r="L175" s="324"/>
      <c r="M175" s="324"/>
      <c r="N175" s="324"/>
      <c r="O175" s="324"/>
      <c r="P175" s="324"/>
      <c r="Q175" s="554"/>
    </row>
    <row r="176" spans="1:17" x14ac:dyDescent="0.2">
      <c r="B176" s="560" t="s">
        <v>337</v>
      </c>
      <c r="C176" s="323"/>
      <c r="D176" s="324"/>
      <c r="E176" s="324"/>
      <c r="F176" s="324"/>
      <c r="G176" s="324"/>
      <c r="H176" s="324"/>
      <c r="I176" s="324"/>
      <c r="J176" s="324"/>
      <c r="K176" s="324"/>
      <c r="L176" s="324"/>
      <c r="M176" s="324"/>
      <c r="N176" s="324"/>
      <c r="O176" s="324"/>
      <c r="P176" s="324"/>
      <c r="Q176" s="554"/>
    </row>
    <row r="177" spans="2:17" x14ac:dyDescent="0.2">
      <c r="B177" s="560" t="s">
        <v>338</v>
      </c>
      <c r="C177" s="323"/>
      <c r="D177" s="324"/>
      <c r="E177" s="324"/>
      <c r="F177" s="324"/>
      <c r="G177" s="324"/>
      <c r="H177" s="324"/>
      <c r="I177" s="324"/>
      <c r="J177" s="324"/>
      <c r="K177" s="324"/>
      <c r="L177" s="324"/>
      <c r="M177" s="324"/>
      <c r="N177" s="324"/>
      <c r="O177" s="324"/>
      <c r="P177" s="324"/>
      <c r="Q177" s="554"/>
    </row>
    <row r="178" spans="2:17" x14ac:dyDescent="0.2">
      <c r="B178" s="560"/>
      <c r="C178" s="323"/>
      <c r="D178" s="324"/>
      <c r="E178" s="324"/>
      <c r="F178" s="324"/>
      <c r="G178" s="324"/>
      <c r="H178" s="324"/>
      <c r="I178" s="324"/>
      <c r="J178" s="324"/>
      <c r="K178" s="324"/>
      <c r="L178" s="324"/>
      <c r="M178" s="324"/>
      <c r="N178" s="324"/>
      <c r="O178" s="324"/>
      <c r="P178" s="324"/>
      <c r="Q178" s="554"/>
    </row>
    <row r="179" spans="2:17" ht="15.75" x14ac:dyDescent="0.25">
      <c r="B179" s="607" t="s">
        <v>301</v>
      </c>
      <c r="C179" s="323"/>
      <c r="D179" s="324"/>
      <c r="E179" s="324"/>
      <c r="F179" s="324"/>
      <c r="G179" s="324"/>
      <c r="H179" s="324"/>
      <c r="I179" s="324"/>
      <c r="J179" s="324"/>
      <c r="K179" s="324"/>
      <c r="L179" s="324"/>
      <c r="M179" s="324"/>
      <c r="N179" s="324"/>
      <c r="O179" s="324"/>
      <c r="P179" s="324"/>
      <c r="Q179" s="554"/>
    </row>
    <row r="180" spans="2:17" x14ac:dyDescent="0.2">
      <c r="B180" s="560" t="s">
        <v>339</v>
      </c>
      <c r="C180" s="323"/>
      <c r="D180" s="324"/>
      <c r="E180" s="324"/>
      <c r="F180" s="324"/>
      <c r="G180" s="324"/>
      <c r="H180" s="324"/>
      <c r="I180" s="324"/>
      <c r="J180" s="324"/>
      <c r="K180" s="324"/>
      <c r="L180" s="324"/>
      <c r="M180" s="324"/>
      <c r="N180" s="324"/>
      <c r="O180" s="324"/>
      <c r="P180" s="324"/>
      <c r="Q180" s="554"/>
    </row>
    <row r="181" spans="2:17" x14ac:dyDescent="0.2">
      <c r="B181" s="560" t="s">
        <v>340</v>
      </c>
      <c r="C181" s="323"/>
      <c r="D181" s="324"/>
      <c r="E181" s="324"/>
      <c r="F181" s="324"/>
      <c r="G181" s="324"/>
      <c r="H181" s="324"/>
      <c r="I181" s="324"/>
      <c r="J181" s="324"/>
      <c r="K181" s="324"/>
      <c r="L181" s="324"/>
      <c r="M181" s="324"/>
      <c r="N181" s="324"/>
      <c r="O181" s="324"/>
      <c r="P181" s="324"/>
      <c r="Q181" s="554"/>
    </row>
    <row r="182" spans="2:17" x14ac:dyDescent="0.2">
      <c r="B182" s="560" t="s">
        <v>341</v>
      </c>
      <c r="C182" s="323"/>
      <c r="D182" s="324"/>
      <c r="E182" s="324"/>
      <c r="F182" s="324"/>
      <c r="G182" s="324"/>
      <c r="H182" s="324"/>
      <c r="I182" s="324"/>
      <c r="J182" s="324"/>
      <c r="K182" s="324"/>
      <c r="L182" s="324"/>
      <c r="M182" s="324"/>
      <c r="N182" s="324"/>
      <c r="O182" s="324"/>
      <c r="P182" s="324"/>
      <c r="Q182" s="554"/>
    </row>
    <row r="183" spans="2:17" x14ac:dyDescent="0.2">
      <c r="B183" s="560"/>
      <c r="C183" s="323"/>
      <c r="D183" s="324"/>
      <c r="E183" s="324"/>
      <c r="F183" s="324"/>
      <c r="G183" s="324"/>
      <c r="H183" s="324"/>
      <c r="I183" s="324"/>
      <c r="J183" s="324"/>
      <c r="K183" s="324"/>
      <c r="L183" s="324"/>
      <c r="M183" s="324"/>
      <c r="N183" s="324"/>
      <c r="O183" s="324"/>
      <c r="P183" s="324"/>
      <c r="Q183" s="554"/>
    </row>
    <row r="184" spans="2:17" x14ac:dyDescent="0.2">
      <c r="B184" s="560" t="s">
        <v>342</v>
      </c>
      <c r="C184" s="323"/>
      <c r="D184" s="324"/>
      <c r="E184" s="324"/>
      <c r="F184" s="324"/>
      <c r="G184" s="324"/>
      <c r="H184" s="324"/>
      <c r="I184" s="324"/>
      <c r="J184" s="324"/>
      <c r="K184" s="324"/>
      <c r="L184" s="324"/>
      <c r="M184" s="324"/>
      <c r="N184" s="324"/>
      <c r="O184" s="324"/>
      <c r="P184" s="324"/>
      <c r="Q184" s="554"/>
    </row>
    <row r="185" spans="2:17" x14ac:dyDescent="0.2">
      <c r="B185" s="560" t="s">
        <v>343</v>
      </c>
      <c r="C185" s="323"/>
      <c r="D185" s="324"/>
      <c r="E185" s="324"/>
      <c r="F185" s="324"/>
      <c r="G185" s="324"/>
      <c r="H185" s="324"/>
      <c r="I185" s="324"/>
      <c r="J185" s="324"/>
      <c r="K185" s="324"/>
      <c r="L185" s="324"/>
      <c r="M185" s="324"/>
      <c r="N185" s="324"/>
      <c r="O185" s="324"/>
      <c r="P185" s="324"/>
      <c r="Q185" s="554"/>
    </row>
    <row r="186" spans="2:17" x14ac:dyDescent="0.2">
      <c r="B186" s="560" t="s">
        <v>344</v>
      </c>
      <c r="C186" s="323"/>
      <c r="D186" s="324"/>
      <c r="E186" s="324"/>
      <c r="F186" s="324"/>
      <c r="G186" s="324"/>
      <c r="H186" s="324"/>
      <c r="I186" s="324"/>
      <c r="J186" s="324"/>
      <c r="K186" s="324"/>
      <c r="L186" s="324"/>
      <c r="M186" s="324"/>
      <c r="N186" s="324"/>
      <c r="O186" s="324"/>
      <c r="P186" s="324"/>
      <c r="Q186" s="554"/>
    </row>
    <row r="187" spans="2:17" x14ac:dyDescent="0.2">
      <c r="B187" s="560"/>
      <c r="C187" s="323"/>
      <c r="D187" s="324"/>
      <c r="E187" s="324"/>
      <c r="F187" s="324"/>
      <c r="G187" s="324"/>
      <c r="H187" s="324"/>
      <c r="I187" s="324"/>
      <c r="J187" s="324"/>
      <c r="K187" s="324"/>
      <c r="L187" s="324"/>
      <c r="M187" s="324"/>
      <c r="N187" s="324"/>
      <c r="O187" s="324"/>
      <c r="P187" s="324"/>
      <c r="Q187" s="554"/>
    </row>
    <row r="188" spans="2:17" ht="15.75" x14ac:dyDescent="0.25">
      <c r="B188" s="607" t="s">
        <v>287</v>
      </c>
      <c r="C188" s="323"/>
      <c r="D188" s="324"/>
      <c r="E188" s="324"/>
      <c r="F188" s="324"/>
      <c r="G188" s="324"/>
      <c r="H188" s="324"/>
      <c r="I188" s="324"/>
      <c r="J188" s="324"/>
      <c r="K188" s="324"/>
      <c r="L188" s="324"/>
      <c r="M188" s="324"/>
      <c r="N188" s="324"/>
      <c r="O188" s="324"/>
      <c r="P188" s="324"/>
      <c r="Q188" s="554"/>
    </row>
    <row r="189" spans="2:17" x14ac:dyDescent="0.2">
      <c r="B189" s="553" t="s">
        <v>345</v>
      </c>
      <c r="C189" s="323"/>
      <c r="D189" s="324"/>
      <c r="E189" s="324"/>
      <c r="F189" s="324"/>
      <c r="G189" s="324"/>
      <c r="H189" s="324"/>
      <c r="I189" s="324"/>
      <c r="J189" s="324"/>
      <c r="K189" s="324"/>
      <c r="L189" s="324"/>
      <c r="M189" s="324"/>
      <c r="N189" s="324"/>
      <c r="O189" s="324"/>
      <c r="P189" s="324"/>
      <c r="Q189" s="554"/>
    </row>
    <row r="190" spans="2:17" x14ac:dyDescent="0.2">
      <c r="B190" s="553" t="s">
        <v>346</v>
      </c>
      <c r="C190" s="323"/>
      <c r="D190" s="324"/>
      <c r="E190" s="324"/>
      <c r="F190" s="324"/>
      <c r="G190" s="324"/>
      <c r="H190" s="324"/>
      <c r="I190" s="324"/>
      <c r="J190" s="324"/>
      <c r="K190" s="324"/>
      <c r="L190" s="324"/>
      <c r="M190" s="324"/>
      <c r="N190" s="324"/>
      <c r="O190" s="324"/>
      <c r="P190" s="324"/>
      <c r="Q190" s="554"/>
    </row>
    <row r="191" spans="2:17" x14ac:dyDescent="0.2">
      <c r="B191" s="553"/>
      <c r="C191" s="323"/>
      <c r="D191" s="324"/>
      <c r="E191" s="324"/>
      <c r="F191" s="324"/>
      <c r="G191" s="324"/>
      <c r="H191" s="324"/>
      <c r="I191" s="324"/>
      <c r="J191" s="324"/>
      <c r="K191" s="324"/>
      <c r="L191" s="324"/>
      <c r="M191" s="324"/>
      <c r="N191" s="324"/>
      <c r="O191" s="324"/>
      <c r="P191" s="324"/>
      <c r="Q191" s="554"/>
    </row>
    <row r="192" spans="2:17" x14ac:dyDescent="0.2">
      <c r="B192" s="563" t="s">
        <v>408</v>
      </c>
      <c r="C192" s="323"/>
      <c r="D192" s="324"/>
      <c r="E192" s="324"/>
      <c r="F192" s="324"/>
      <c r="G192" s="324"/>
      <c r="H192" s="324"/>
      <c r="I192" s="324"/>
      <c r="J192" s="324"/>
      <c r="K192" s="324"/>
      <c r="L192" s="324"/>
      <c r="M192" s="324"/>
      <c r="N192" s="324"/>
      <c r="O192" s="324"/>
      <c r="P192" s="324"/>
      <c r="Q192" s="554"/>
    </row>
    <row r="193" spans="2:17" x14ac:dyDescent="0.2">
      <c r="B193" s="553" t="s">
        <v>432</v>
      </c>
      <c r="C193" s="323"/>
      <c r="D193" s="324"/>
      <c r="E193" s="324"/>
      <c r="F193" s="324"/>
      <c r="G193" s="324"/>
      <c r="H193" s="324"/>
      <c r="I193" s="324"/>
      <c r="J193" s="324"/>
      <c r="K193" s="324"/>
      <c r="L193" s="324"/>
      <c r="M193" s="324"/>
      <c r="N193" s="324"/>
      <c r="O193" s="324"/>
      <c r="P193" s="324"/>
      <c r="Q193" s="554"/>
    </row>
    <row r="194" spans="2:17" x14ac:dyDescent="0.2">
      <c r="B194" s="553"/>
      <c r="C194" s="556" t="s">
        <v>404</v>
      </c>
      <c r="D194" s="324"/>
      <c r="E194" s="324"/>
      <c r="F194" s="324"/>
      <c r="G194" s="324"/>
      <c r="H194" s="324"/>
      <c r="I194" s="324"/>
      <c r="J194" s="324"/>
      <c r="K194" s="324"/>
      <c r="L194" s="324"/>
      <c r="M194" s="324"/>
      <c r="N194" s="324"/>
      <c r="O194" s="324"/>
      <c r="P194" s="324"/>
      <c r="Q194" s="554"/>
    </row>
    <row r="195" spans="2:17" x14ac:dyDescent="0.2">
      <c r="B195" s="553"/>
      <c r="C195" s="556" t="s">
        <v>439</v>
      </c>
      <c r="D195" s="324"/>
      <c r="E195" s="324"/>
      <c r="F195" s="324"/>
      <c r="G195" s="324"/>
      <c r="H195" s="324"/>
      <c r="I195" s="324"/>
      <c r="J195" s="324"/>
      <c r="K195" s="324"/>
      <c r="L195" s="324"/>
      <c r="M195" s="324"/>
      <c r="N195" s="324"/>
      <c r="O195" s="324"/>
      <c r="P195" s="324"/>
      <c r="Q195" s="554"/>
    </row>
    <row r="196" spans="2:17" x14ac:dyDescent="0.2">
      <c r="B196" s="553"/>
      <c r="C196" s="556" t="s">
        <v>444</v>
      </c>
      <c r="D196" s="324"/>
      <c r="E196" s="324"/>
      <c r="F196" s="324"/>
      <c r="G196" s="324"/>
      <c r="H196" s="324"/>
      <c r="I196" s="324"/>
      <c r="J196" s="324"/>
      <c r="K196" s="324"/>
      <c r="L196" s="324"/>
      <c r="M196" s="324"/>
      <c r="N196" s="324"/>
      <c r="O196" s="324"/>
      <c r="P196" s="324"/>
      <c r="Q196" s="554"/>
    </row>
    <row r="197" spans="2:17" x14ac:dyDescent="0.2">
      <c r="B197" s="553"/>
      <c r="C197" s="556" t="s">
        <v>443</v>
      </c>
      <c r="D197" s="324"/>
      <c r="E197" s="324"/>
      <c r="F197" s="324"/>
      <c r="G197" s="324"/>
      <c r="H197" s="324"/>
      <c r="I197" s="324"/>
      <c r="J197" s="324"/>
      <c r="K197" s="324"/>
      <c r="L197" s="324"/>
      <c r="M197" s="324"/>
      <c r="N197" s="324"/>
      <c r="O197" s="324"/>
      <c r="P197" s="324"/>
      <c r="Q197" s="554"/>
    </row>
    <row r="198" spans="2:17" x14ac:dyDescent="0.2">
      <c r="B198" s="553"/>
      <c r="C198" s="556" t="s">
        <v>442</v>
      </c>
      <c r="D198" s="324"/>
      <c r="E198" s="324"/>
      <c r="F198" s="324"/>
      <c r="G198" s="324"/>
      <c r="H198" s="324"/>
      <c r="I198" s="324"/>
      <c r="J198" s="324"/>
      <c r="K198" s="324"/>
      <c r="L198" s="324"/>
      <c r="M198" s="324"/>
      <c r="N198" s="324"/>
      <c r="O198" s="324"/>
      <c r="P198" s="324"/>
      <c r="Q198" s="554"/>
    </row>
    <row r="199" spans="2:17" x14ac:dyDescent="0.2">
      <c r="B199" s="553"/>
      <c r="C199" s="556" t="s">
        <v>445</v>
      </c>
      <c r="D199" s="324"/>
      <c r="E199" s="324"/>
      <c r="F199" s="324"/>
      <c r="G199" s="324"/>
      <c r="H199" s="324"/>
      <c r="I199" s="324"/>
      <c r="J199" s="324"/>
      <c r="K199" s="324"/>
      <c r="L199" s="324"/>
      <c r="M199" s="324"/>
      <c r="N199" s="324"/>
      <c r="O199" s="324"/>
      <c r="P199" s="324"/>
      <c r="Q199" s="554"/>
    </row>
    <row r="200" spans="2:17" x14ac:dyDescent="0.2">
      <c r="B200" s="553" t="s">
        <v>407</v>
      </c>
      <c r="C200" s="323"/>
      <c r="D200" s="324"/>
      <c r="E200" s="324"/>
      <c r="F200" s="324"/>
      <c r="G200" s="324"/>
      <c r="H200" s="324"/>
      <c r="I200" s="324"/>
      <c r="J200" s="324"/>
      <c r="K200" s="324"/>
      <c r="L200" s="324"/>
      <c r="M200" s="324"/>
      <c r="N200" s="324"/>
      <c r="O200" s="324"/>
      <c r="P200" s="324"/>
      <c r="Q200" s="554"/>
    </row>
    <row r="201" spans="2:17" x14ac:dyDescent="0.2">
      <c r="B201" s="553"/>
      <c r="C201" s="323"/>
      <c r="D201" s="324"/>
      <c r="E201" s="324"/>
      <c r="F201" s="324"/>
      <c r="G201" s="324"/>
      <c r="H201" s="324"/>
      <c r="I201" s="324"/>
      <c r="J201" s="324"/>
      <c r="K201" s="324"/>
      <c r="L201" s="324"/>
      <c r="M201" s="324"/>
      <c r="N201" s="324"/>
      <c r="O201" s="324"/>
      <c r="P201" s="324"/>
      <c r="Q201" s="554"/>
    </row>
    <row r="202" spans="2:17" x14ac:dyDescent="0.2">
      <c r="B202" s="553" t="s">
        <v>402</v>
      </c>
      <c r="C202" s="323"/>
      <c r="D202" s="324"/>
      <c r="E202" s="324"/>
      <c r="F202" s="324"/>
      <c r="G202" s="324"/>
      <c r="H202" s="324"/>
      <c r="I202" s="324"/>
      <c r="J202" s="324"/>
      <c r="K202" s="324"/>
      <c r="L202" s="324"/>
      <c r="M202" s="324"/>
      <c r="N202" s="324"/>
      <c r="O202" s="324"/>
      <c r="P202" s="324"/>
      <c r="Q202" s="554"/>
    </row>
    <row r="203" spans="2:17" x14ac:dyDescent="0.2">
      <c r="B203" s="553"/>
      <c r="C203" s="556" t="s">
        <v>403</v>
      </c>
      <c r="D203" s="324"/>
      <c r="E203" s="324"/>
      <c r="F203" s="324"/>
      <c r="G203" s="324"/>
      <c r="H203" s="324"/>
      <c r="I203" s="324"/>
      <c r="J203" s="324"/>
      <c r="K203" s="324"/>
      <c r="L203" s="324"/>
      <c r="M203" s="324"/>
      <c r="N203" s="324"/>
      <c r="O203" s="324"/>
      <c r="P203" s="324"/>
      <c r="Q203" s="554"/>
    </row>
    <row r="204" spans="2:17" x14ac:dyDescent="0.2">
      <c r="B204" s="553"/>
      <c r="C204" s="323"/>
      <c r="D204" s="324"/>
      <c r="E204" s="324"/>
      <c r="F204" s="324"/>
      <c r="G204" s="324"/>
      <c r="H204" s="324"/>
      <c r="I204" s="324"/>
      <c r="J204" s="324"/>
      <c r="K204" s="324"/>
      <c r="L204" s="324"/>
      <c r="M204" s="324"/>
      <c r="N204" s="324"/>
      <c r="O204" s="324"/>
      <c r="P204" s="324"/>
      <c r="Q204" s="554"/>
    </row>
    <row r="205" spans="2:17" ht="15.75" x14ac:dyDescent="0.25">
      <c r="B205" s="607" t="s">
        <v>285</v>
      </c>
      <c r="C205" s="323"/>
      <c r="D205" s="324"/>
      <c r="E205" s="324"/>
      <c r="F205" s="324"/>
      <c r="G205" s="324"/>
      <c r="H205" s="324"/>
      <c r="I205" s="324"/>
      <c r="J205" s="324"/>
      <c r="K205" s="324"/>
      <c r="L205" s="324"/>
      <c r="M205" s="324"/>
      <c r="N205" s="324"/>
      <c r="O205" s="324"/>
      <c r="P205" s="324"/>
      <c r="Q205" s="554"/>
    </row>
    <row r="206" spans="2:17" x14ac:dyDescent="0.2">
      <c r="B206" s="553" t="s">
        <v>405</v>
      </c>
      <c r="C206" s="323"/>
      <c r="D206" s="324"/>
      <c r="E206" s="324"/>
      <c r="F206" s="324"/>
      <c r="G206" s="324"/>
      <c r="H206" s="324"/>
      <c r="I206" s="324"/>
      <c r="J206" s="324"/>
      <c r="K206" s="324"/>
      <c r="L206" s="324"/>
      <c r="M206" s="324"/>
      <c r="N206" s="324"/>
      <c r="O206" s="324"/>
      <c r="P206" s="324"/>
      <c r="Q206" s="554"/>
    </row>
    <row r="207" spans="2:17" x14ac:dyDescent="0.2">
      <c r="B207" s="553" t="s">
        <v>302</v>
      </c>
      <c r="C207" s="323"/>
      <c r="D207" s="324"/>
      <c r="E207" s="324"/>
      <c r="F207" s="324"/>
      <c r="G207" s="324"/>
      <c r="H207" s="324"/>
      <c r="I207" s="324"/>
      <c r="J207" s="324"/>
      <c r="K207" s="324"/>
      <c r="L207" s="324"/>
      <c r="M207" s="324"/>
      <c r="N207" s="324"/>
      <c r="O207" s="324"/>
      <c r="P207" s="324"/>
      <c r="Q207" s="554"/>
    </row>
    <row r="208" spans="2:17" x14ac:dyDescent="0.2">
      <c r="B208" s="553" t="s">
        <v>406</v>
      </c>
      <c r="C208" s="323"/>
      <c r="D208" s="324"/>
      <c r="E208" s="324"/>
      <c r="F208" s="324"/>
      <c r="G208" s="324"/>
      <c r="H208" s="324"/>
      <c r="I208" s="324"/>
      <c r="J208" s="324"/>
      <c r="K208" s="324"/>
      <c r="L208" s="324"/>
      <c r="M208" s="324"/>
      <c r="N208" s="324"/>
      <c r="O208" s="324"/>
      <c r="P208" s="324"/>
      <c r="Q208" s="554"/>
    </row>
    <row r="209" spans="2:17" x14ac:dyDescent="0.2">
      <c r="B209" s="553"/>
      <c r="C209" s="323"/>
      <c r="D209" s="324"/>
      <c r="E209" s="324"/>
      <c r="F209" s="324"/>
      <c r="G209" s="324"/>
      <c r="H209" s="324"/>
      <c r="I209" s="324"/>
      <c r="J209" s="324"/>
      <c r="K209" s="324"/>
      <c r="L209" s="324"/>
      <c r="M209" s="324"/>
      <c r="N209" s="324"/>
      <c r="O209" s="324"/>
      <c r="P209" s="324"/>
      <c r="Q209" s="554"/>
    </row>
    <row r="210" spans="2:17" x14ac:dyDescent="0.2">
      <c r="B210" s="553" t="s">
        <v>410</v>
      </c>
      <c r="C210" s="323"/>
      <c r="D210" s="324"/>
      <c r="E210" s="324"/>
      <c r="F210" s="324"/>
      <c r="G210" s="324"/>
      <c r="H210" s="324"/>
      <c r="I210" s="324"/>
      <c r="J210" s="324"/>
      <c r="K210" s="324"/>
      <c r="L210" s="324"/>
      <c r="M210" s="324"/>
      <c r="N210" s="324"/>
      <c r="O210" s="324"/>
      <c r="P210" s="324"/>
      <c r="Q210" s="554"/>
    </row>
    <row r="211" spans="2:17" x14ac:dyDescent="0.2">
      <c r="B211" s="553" t="s">
        <v>412</v>
      </c>
      <c r="C211" s="556"/>
      <c r="D211" s="324"/>
      <c r="E211" s="324"/>
      <c r="F211" s="324"/>
      <c r="G211" s="324"/>
      <c r="H211" s="324"/>
      <c r="I211" s="324"/>
      <c r="J211" s="324"/>
      <c r="K211" s="324"/>
      <c r="L211" s="324"/>
      <c r="M211" s="324"/>
      <c r="N211" s="324"/>
      <c r="O211" s="324"/>
      <c r="P211" s="324"/>
      <c r="Q211" s="554"/>
    </row>
    <row r="212" spans="2:17" x14ac:dyDescent="0.2">
      <c r="B212" s="553" t="s">
        <v>409</v>
      </c>
      <c r="C212" s="323"/>
      <c r="D212" s="324"/>
      <c r="E212" s="324"/>
      <c r="F212" s="324"/>
      <c r="G212" s="324"/>
      <c r="H212" s="324"/>
      <c r="I212" s="324"/>
      <c r="J212" s="324"/>
      <c r="K212" s="324"/>
      <c r="L212" s="324"/>
      <c r="M212" s="324"/>
      <c r="N212" s="324"/>
      <c r="O212" s="324"/>
      <c r="P212" s="324"/>
      <c r="Q212" s="554"/>
    </row>
    <row r="213" spans="2:17" x14ac:dyDescent="0.2">
      <c r="B213" s="553"/>
      <c r="C213" s="323"/>
      <c r="D213" s="324"/>
      <c r="E213" s="324"/>
      <c r="F213" s="324"/>
      <c r="G213" s="324"/>
      <c r="H213" s="324"/>
      <c r="I213" s="324"/>
      <c r="J213" s="324"/>
      <c r="K213" s="324"/>
      <c r="L213" s="324"/>
      <c r="M213" s="324"/>
      <c r="N213" s="324"/>
      <c r="O213" s="324"/>
      <c r="P213" s="324"/>
      <c r="Q213" s="554"/>
    </row>
    <row r="214" spans="2:17" x14ac:dyDescent="0.2">
      <c r="B214" s="557" t="s">
        <v>411</v>
      </c>
      <c r="C214" s="323"/>
      <c r="D214" s="324"/>
      <c r="E214" s="324"/>
      <c r="F214" s="324"/>
      <c r="G214" s="324"/>
      <c r="H214" s="324"/>
      <c r="I214" s="324"/>
      <c r="J214" s="324"/>
      <c r="K214" s="324"/>
      <c r="L214" s="324"/>
      <c r="M214" s="324"/>
      <c r="N214" s="324"/>
      <c r="O214" s="324"/>
      <c r="P214" s="324"/>
      <c r="Q214" s="554"/>
    </row>
    <row r="215" spans="2:17" x14ac:dyDescent="0.2">
      <c r="B215" s="557" t="s">
        <v>433</v>
      </c>
      <c r="C215" s="323"/>
      <c r="D215" s="324"/>
      <c r="E215" s="324"/>
      <c r="F215" s="324"/>
      <c r="G215" s="324"/>
      <c r="H215" s="324"/>
      <c r="I215" s="324"/>
      <c r="J215" s="324"/>
      <c r="K215" s="324"/>
      <c r="L215" s="324"/>
      <c r="M215" s="324"/>
      <c r="N215" s="324"/>
      <c r="O215" s="324"/>
      <c r="P215" s="324"/>
      <c r="Q215" s="554"/>
    </row>
    <row r="216" spans="2:17" x14ac:dyDescent="0.2">
      <c r="B216" s="553"/>
      <c r="C216" s="323"/>
      <c r="D216" s="324"/>
      <c r="E216" s="324"/>
      <c r="F216" s="324"/>
      <c r="G216" s="324"/>
      <c r="H216" s="324"/>
      <c r="I216" s="324"/>
      <c r="J216" s="324"/>
      <c r="K216" s="324"/>
      <c r="L216" s="324"/>
      <c r="M216" s="324"/>
      <c r="N216" s="324"/>
      <c r="O216" s="324"/>
      <c r="P216" s="324"/>
      <c r="Q216" s="554"/>
    </row>
    <row r="217" spans="2:17" ht="15.75" x14ac:dyDescent="0.25">
      <c r="B217" s="607" t="s">
        <v>286</v>
      </c>
      <c r="C217" s="323"/>
      <c r="D217" s="324"/>
      <c r="E217" s="324"/>
      <c r="F217" s="324"/>
      <c r="G217" s="324"/>
      <c r="H217" s="324"/>
      <c r="I217" s="324"/>
      <c r="J217" s="324"/>
      <c r="K217" s="324"/>
      <c r="L217" s="324"/>
      <c r="M217" s="324"/>
      <c r="N217" s="324"/>
      <c r="O217" s="324"/>
      <c r="P217" s="324"/>
      <c r="Q217" s="554"/>
    </row>
    <row r="218" spans="2:17" x14ac:dyDescent="0.2">
      <c r="B218" s="553" t="s">
        <v>292</v>
      </c>
      <c r="C218" s="323"/>
      <c r="D218" s="324"/>
      <c r="E218" s="324"/>
      <c r="F218" s="324"/>
      <c r="G218" s="324"/>
      <c r="H218" s="324"/>
      <c r="I218" s="324"/>
      <c r="J218" s="324"/>
      <c r="K218" s="324"/>
      <c r="L218" s="324"/>
      <c r="M218" s="324"/>
      <c r="N218" s="324"/>
      <c r="O218" s="324"/>
      <c r="P218" s="324"/>
      <c r="Q218" s="554"/>
    </row>
    <row r="219" spans="2:17" ht="13.5" thickBot="1" x14ac:dyDescent="0.25">
      <c r="B219" s="614"/>
      <c r="C219" s="615"/>
      <c r="D219" s="616"/>
      <c r="E219" s="616"/>
      <c r="F219" s="616"/>
      <c r="G219" s="616"/>
      <c r="H219" s="616"/>
      <c r="I219" s="616"/>
      <c r="J219" s="616"/>
      <c r="K219" s="616"/>
      <c r="L219" s="616"/>
      <c r="M219" s="616"/>
      <c r="N219" s="616"/>
      <c r="O219" s="616"/>
      <c r="P219" s="616"/>
      <c r="Q219" s="617"/>
    </row>
    <row r="220" spans="2:17" x14ac:dyDescent="0.2">
      <c r="B220" s="560"/>
      <c r="C220" s="323"/>
      <c r="D220" s="324"/>
      <c r="E220" s="324"/>
      <c r="F220" s="324"/>
      <c r="G220" s="324"/>
      <c r="H220" s="324"/>
      <c r="I220" s="324"/>
      <c r="J220" s="324"/>
      <c r="K220" s="324"/>
      <c r="L220" s="324"/>
      <c r="M220" s="324"/>
      <c r="N220" s="324"/>
      <c r="O220" s="324"/>
      <c r="P220" s="324"/>
      <c r="Q220" s="554"/>
    </row>
    <row r="221" spans="2:17" ht="15.75" x14ac:dyDescent="0.25">
      <c r="B221" s="607" t="s">
        <v>288</v>
      </c>
      <c r="C221" s="323"/>
      <c r="D221" s="324"/>
      <c r="E221" s="324"/>
      <c r="F221" s="324"/>
      <c r="G221" s="324"/>
      <c r="H221" s="324"/>
      <c r="I221" s="324"/>
      <c r="J221" s="324"/>
      <c r="K221" s="324"/>
      <c r="L221" s="324"/>
      <c r="M221" s="324"/>
      <c r="N221" s="324"/>
      <c r="O221" s="324"/>
      <c r="P221" s="324"/>
      <c r="Q221" s="554"/>
    </row>
    <row r="222" spans="2:17" x14ac:dyDescent="0.2">
      <c r="B222" s="553" t="s">
        <v>291</v>
      </c>
      <c r="C222" s="430"/>
      <c r="D222" s="214"/>
      <c r="E222" s="214"/>
      <c r="F222" s="214"/>
      <c r="G222" s="214"/>
      <c r="H222" s="214"/>
      <c r="I222" s="214"/>
      <c r="J222" s="214"/>
      <c r="K222" s="214" t="str">
        <f>"This update is "&amp;RIGHT('Daniels Tables'!G2,10)</f>
        <v>This update is Rev3.01.03</v>
      </c>
      <c r="L222" s="214"/>
      <c r="M222" s="214"/>
      <c r="N222" s="567" t="s">
        <v>235</v>
      </c>
      <c r="O222" s="608">
        <f>'Daniels Tables'!R2</f>
        <v>43493</v>
      </c>
      <c r="P222" s="214"/>
      <c r="Q222" s="568"/>
    </row>
    <row r="223" spans="2:17" x14ac:dyDescent="0.2">
      <c r="B223" s="563"/>
      <c r="C223" s="430"/>
      <c r="D223" s="214"/>
      <c r="E223" s="569" t="s">
        <v>236</v>
      </c>
      <c r="F223" s="909" t="s">
        <v>237</v>
      </c>
      <c r="G223" s="909"/>
      <c r="H223" s="909"/>
      <c r="I223" s="909"/>
      <c r="J223" s="909"/>
      <c r="K223" s="214"/>
      <c r="L223" s="214"/>
      <c r="M223" s="214"/>
      <c r="N223" s="214"/>
      <c r="O223" s="214"/>
      <c r="P223" s="214"/>
      <c r="Q223" s="568"/>
    </row>
    <row r="224" spans="2:17" x14ac:dyDescent="0.2">
      <c r="B224" s="563"/>
      <c r="C224" s="430"/>
      <c r="D224" s="214"/>
      <c r="E224" s="214"/>
      <c r="F224" s="214"/>
      <c r="G224" s="214"/>
      <c r="H224" s="214"/>
      <c r="I224" s="214"/>
      <c r="J224" s="214"/>
      <c r="K224" s="214"/>
      <c r="L224" s="214"/>
      <c r="M224" s="214"/>
      <c r="N224" s="214"/>
      <c r="O224" s="214"/>
      <c r="P224" s="214"/>
      <c r="Q224" s="568"/>
    </row>
    <row r="225" spans="2:17" x14ac:dyDescent="0.2">
      <c r="B225" s="570" t="s">
        <v>238</v>
      </c>
      <c r="C225" s="214"/>
      <c r="D225" s="214"/>
      <c r="E225" s="214"/>
      <c r="F225" s="214"/>
      <c r="G225" s="214"/>
      <c r="H225" s="214"/>
      <c r="I225" s="214"/>
      <c r="J225" s="214"/>
      <c r="K225" s="214"/>
      <c r="L225" s="214"/>
      <c r="M225" s="214"/>
      <c r="N225" s="214"/>
      <c r="O225" s="214"/>
      <c r="P225" s="214"/>
      <c r="Q225" s="568"/>
    </row>
    <row r="226" spans="2:17" x14ac:dyDescent="0.2">
      <c r="B226" s="571" t="s">
        <v>239</v>
      </c>
      <c r="C226" s="214"/>
      <c r="D226" s="214"/>
      <c r="E226" s="214"/>
      <c r="F226" s="214"/>
      <c r="G226" s="214"/>
      <c r="H226" s="214"/>
      <c r="I226" s="214"/>
      <c r="J226" s="214"/>
      <c r="K226" s="214"/>
      <c r="L226" s="214"/>
      <c r="M226" s="214"/>
      <c r="N226" s="214"/>
      <c r="O226" s="214"/>
      <c r="P226" s="214"/>
      <c r="Q226" s="568"/>
    </row>
    <row r="227" spans="2:17" x14ac:dyDescent="0.2">
      <c r="B227" s="563" t="s">
        <v>240</v>
      </c>
      <c r="C227" s="214"/>
      <c r="D227" s="214"/>
      <c r="E227" s="214"/>
      <c r="F227" s="214"/>
      <c r="G227" s="214"/>
      <c r="H227" s="214"/>
      <c r="I227" s="214"/>
      <c r="J227" s="214"/>
      <c r="K227" s="214"/>
      <c r="L227" s="214"/>
      <c r="M227" s="214"/>
      <c r="N227" s="214"/>
      <c r="O227" s="214"/>
      <c r="P227" s="214"/>
      <c r="Q227" s="568"/>
    </row>
    <row r="228" spans="2:17" x14ac:dyDescent="0.2">
      <c r="B228" s="563" t="s">
        <v>241</v>
      </c>
      <c r="C228" s="214"/>
      <c r="D228" s="214"/>
      <c r="E228" s="214"/>
      <c r="F228" s="214"/>
      <c r="G228" s="214"/>
      <c r="H228" s="214"/>
      <c r="I228" s="214"/>
      <c r="J228" s="214"/>
      <c r="K228" s="214"/>
      <c r="L228" s="214"/>
      <c r="M228" s="214"/>
      <c r="N228" s="214"/>
      <c r="O228" s="214"/>
      <c r="P228" s="214"/>
      <c r="Q228" s="568"/>
    </row>
    <row r="229" spans="2:17" x14ac:dyDescent="0.2">
      <c r="B229" s="563"/>
      <c r="C229" s="430"/>
      <c r="D229" s="214"/>
      <c r="E229" s="214"/>
      <c r="F229" s="214"/>
      <c r="G229" s="214"/>
      <c r="H229" s="214"/>
      <c r="I229" s="214"/>
      <c r="J229" s="214"/>
      <c r="K229" s="214"/>
      <c r="L229" s="214"/>
      <c r="M229" s="214"/>
      <c r="N229" s="214"/>
      <c r="O229" s="214"/>
      <c r="P229" s="214"/>
      <c r="Q229" s="568"/>
    </row>
    <row r="230" spans="2:17" x14ac:dyDescent="0.2">
      <c r="B230" s="563" t="s">
        <v>242</v>
      </c>
      <c r="C230" s="430"/>
      <c r="D230" s="214"/>
      <c r="E230" s="214"/>
      <c r="F230" s="214"/>
      <c r="G230" s="214"/>
      <c r="H230" s="214"/>
      <c r="I230" s="214"/>
      <c r="J230" s="214"/>
      <c r="K230" s="214"/>
      <c r="L230" s="214"/>
      <c r="M230" s="214"/>
      <c r="N230" s="214"/>
      <c r="O230" s="214"/>
      <c r="P230" s="214"/>
      <c r="Q230" s="568"/>
    </row>
    <row r="231" spans="2:17" x14ac:dyDescent="0.2">
      <c r="B231" s="563"/>
      <c r="C231" s="569" t="s">
        <v>243</v>
      </c>
      <c r="D231" s="909" t="s">
        <v>244</v>
      </c>
      <c r="E231" s="909"/>
      <c r="F231" s="909"/>
      <c r="G231" s="909"/>
      <c r="H231" s="910" t="s">
        <v>376</v>
      </c>
      <c r="I231" s="910"/>
      <c r="J231" s="909" t="s">
        <v>245</v>
      </c>
      <c r="K231" s="909"/>
      <c r="L231" s="909"/>
      <c r="M231" s="909"/>
      <c r="N231" s="909"/>
      <c r="O231" s="275"/>
      <c r="P231" s="214"/>
      <c r="Q231" s="568"/>
    </row>
    <row r="232" spans="2:17" x14ac:dyDescent="0.2">
      <c r="B232" s="563"/>
      <c r="C232" s="569"/>
      <c r="D232" s="572"/>
      <c r="E232" s="572"/>
      <c r="F232" s="572"/>
      <c r="G232" s="572"/>
      <c r="H232" s="573"/>
      <c r="I232" s="573"/>
      <c r="J232" s="572"/>
      <c r="K232" s="572"/>
      <c r="L232" s="572"/>
      <c r="M232" s="572"/>
      <c r="N232" s="572"/>
      <c r="O232" s="275"/>
      <c r="P232" s="214"/>
      <c r="Q232" s="568"/>
    </row>
    <row r="233" spans="2:17" x14ac:dyDescent="0.2">
      <c r="B233" s="563" t="s">
        <v>246</v>
      </c>
      <c r="C233" s="569"/>
      <c r="D233" s="572"/>
      <c r="E233" s="572"/>
      <c r="F233" s="572"/>
      <c r="G233" s="572"/>
      <c r="H233" s="573"/>
      <c r="I233" s="573"/>
      <c r="J233" s="572"/>
      <c r="K233" s="572"/>
      <c r="L233" s="572"/>
      <c r="M233" s="572"/>
      <c r="N233" s="572"/>
      <c r="O233" s="275"/>
      <c r="P233" s="214"/>
      <c r="Q233" s="568"/>
    </row>
    <row r="234" spans="2:17" x14ac:dyDescent="0.2">
      <c r="B234" s="563"/>
      <c r="C234" s="569" t="s">
        <v>243</v>
      </c>
      <c r="D234" s="911" t="s">
        <v>247</v>
      </c>
      <c r="E234" s="911"/>
      <c r="F234" s="911"/>
      <c r="G234" s="911"/>
      <c r="H234" s="910" t="s">
        <v>376</v>
      </c>
      <c r="I234" s="910"/>
      <c r="J234" s="911" t="s">
        <v>248</v>
      </c>
      <c r="K234" s="911"/>
      <c r="L234" s="911"/>
      <c r="M234" s="911"/>
      <c r="N234" s="911"/>
      <c r="O234" s="911"/>
      <c r="P234" s="911"/>
      <c r="Q234" s="635"/>
    </row>
    <row r="235" spans="2:17" x14ac:dyDescent="0.2">
      <c r="B235" s="563"/>
      <c r="C235" s="430"/>
      <c r="D235" s="214"/>
      <c r="E235" s="214"/>
      <c r="F235" s="214"/>
      <c r="G235" s="214"/>
      <c r="H235" s="214"/>
      <c r="I235" s="214"/>
      <c r="J235" s="214"/>
      <c r="K235" s="214"/>
      <c r="L235" s="214"/>
      <c r="M235" s="214"/>
      <c r="N235" s="214"/>
      <c r="O235" s="214"/>
      <c r="P235" s="214"/>
      <c r="Q235" s="568"/>
    </row>
    <row r="236" spans="2:17" x14ac:dyDescent="0.2">
      <c r="B236" s="563" t="s">
        <v>414</v>
      </c>
      <c r="C236" s="430"/>
      <c r="D236" s="214"/>
      <c r="E236" s="214"/>
      <c r="F236" s="214" t="s">
        <v>415</v>
      </c>
      <c r="G236" s="908" t="s">
        <v>416</v>
      </c>
      <c r="H236" s="908"/>
      <c r="I236" s="908"/>
      <c r="J236" s="908"/>
      <c r="K236" s="908"/>
      <c r="L236" s="214"/>
      <c r="M236" s="214"/>
      <c r="N236" s="214"/>
      <c r="O236" s="214"/>
      <c r="P236" s="214"/>
      <c r="Q236" s="568"/>
    </row>
    <row r="237" spans="2:17" x14ac:dyDescent="0.2">
      <c r="B237" s="563"/>
      <c r="C237" s="430"/>
      <c r="D237" s="214"/>
      <c r="E237" s="214"/>
      <c r="F237" s="214" t="s">
        <v>417</v>
      </c>
      <c r="G237" s="908" t="s">
        <v>418</v>
      </c>
      <c r="H237" s="908"/>
      <c r="I237" s="908"/>
      <c r="J237" s="908"/>
      <c r="K237" s="908"/>
      <c r="L237" s="908"/>
      <c r="M237" s="908"/>
      <c r="N237" s="214"/>
      <c r="O237" s="214"/>
      <c r="P237" s="214"/>
      <c r="Q237" s="568"/>
    </row>
    <row r="238" spans="2:17" x14ac:dyDescent="0.2">
      <c r="B238" s="563"/>
      <c r="C238" s="430"/>
      <c r="D238" s="214"/>
      <c r="E238" s="214"/>
      <c r="F238" s="214"/>
      <c r="G238" s="214"/>
      <c r="H238" s="214"/>
      <c r="I238" s="214"/>
      <c r="J238" s="214"/>
      <c r="K238" s="214"/>
      <c r="L238" s="214"/>
      <c r="M238" s="214"/>
      <c r="N238" s="214"/>
      <c r="O238" s="214"/>
      <c r="P238" s="214"/>
      <c r="Q238" s="568"/>
    </row>
    <row r="239" spans="2:17" x14ac:dyDescent="0.2">
      <c r="B239" s="570" t="s">
        <v>249</v>
      </c>
      <c r="C239" s="214"/>
      <c r="D239" s="214"/>
      <c r="E239" s="214"/>
      <c r="F239" s="214"/>
      <c r="G239" s="214"/>
      <c r="H239" s="214"/>
      <c r="I239" s="214"/>
      <c r="J239" s="214"/>
      <c r="K239" s="214"/>
      <c r="L239" s="214"/>
      <c r="M239" s="214"/>
      <c r="N239" s="214"/>
      <c r="O239" s="214"/>
      <c r="P239" s="214"/>
      <c r="Q239" s="568"/>
    </row>
    <row r="240" spans="2:17" x14ac:dyDescent="0.2">
      <c r="B240" s="563" t="s">
        <v>293</v>
      </c>
      <c r="C240" s="214"/>
      <c r="D240" s="214"/>
      <c r="E240" s="214"/>
      <c r="F240" s="214"/>
      <c r="G240" s="214"/>
      <c r="H240" s="214"/>
      <c r="I240" s="214"/>
      <c r="J240" s="214"/>
      <c r="K240" s="214"/>
      <c r="L240" s="214"/>
      <c r="M240" s="214"/>
      <c r="N240" s="214"/>
      <c r="O240" s="214"/>
      <c r="P240" s="214"/>
      <c r="Q240" s="568"/>
    </row>
    <row r="241" spans="2:17" x14ac:dyDescent="0.2">
      <c r="B241" s="563"/>
      <c r="C241" s="214" t="s">
        <v>299</v>
      </c>
      <c r="D241" s="214"/>
      <c r="E241" s="214"/>
      <c r="F241" s="214"/>
      <c r="G241" s="214"/>
      <c r="H241" s="214"/>
      <c r="I241" s="908" t="s">
        <v>300</v>
      </c>
      <c r="J241" s="908"/>
      <c r="K241" s="908"/>
      <c r="L241" s="908"/>
      <c r="M241" s="214"/>
      <c r="N241" s="214"/>
      <c r="O241" s="214"/>
      <c r="P241" s="214"/>
      <c r="Q241" s="568"/>
    </row>
    <row r="242" spans="2:17" x14ac:dyDescent="0.2">
      <c r="B242" s="563"/>
      <c r="C242" s="214"/>
      <c r="D242" s="214"/>
      <c r="E242" s="214"/>
      <c r="F242" s="214"/>
      <c r="G242" s="214"/>
      <c r="H242" s="214"/>
      <c r="I242" s="613"/>
      <c r="J242" s="613"/>
      <c r="K242" s="613"/>
      <c r="L242" s="613"/>
      <c r="M242" s="214"/>
      <c r="N242" s="214"/>
      <c r="O242" s="214"/>
      <c r="P242" s="214"/>
      <c r="Q242" s="568"/>
    </row>
    <row r="243" spans="2:17" x14ac:dyDescent="0.2">
      <c r="B243" s="610" t="s">
        <v>372</v>
      </c>
      <c r="C243" s="214"/>
      <c r="D243" s="214"/>
      <c r="E243" s="214"/>
      <c r="F243" s="214"/>
      <c r="G243" s="214"/>
      <c r="I243" s="907" t="s">
        <v>298</v>
      </c>
      <c r="J243" s="907"/>
      <c r="K243" s="907"/>
      <c r="L243" s="214"/>
      <c r="M243" s="214"/>
      <c r="N243" s="214"/>
      <c r="O243" s="214"/>
      <c r="P243" s="214"/>
      <c r="Q243" s="568"/>
    </row>
    <row r="244" spans="2:17" x14ac:dyDescent="0.2">
      <c r="B244" s="610"/>
      <c r="C244" s="214"/>
      <c r="D244" s="214"/>
      <c r="E244" s="214"/>
      <c r="F244" s="214"/>
      <c r="G244" s="214"/>
      <c r="I244" s="214"/>
      <c r="J244" s="214"/>
      <c r="K244" s="214"/>
      <c r="L244" s="214"/>
      <c r="M244" s="214"/>
      <c r="N244" s="214"/>
      <c r="O244" s="214"/>
      <c r="P244" s="214"/>
      <c r="Q244" s="568"/>
    </row>
    <row r="245" spans="2:17" x14ac:dyDescent="0.2">
      <c r="B245" s="574" t="s">
        <v>296</v>
      </c>
      <c r="C245" s="214"/>
      <c r="D245" s="214"/>
      <c r="E245" s="214"/>
      <c r="F245" s="214"/>
      <c r="G245" s="214"/>
      <c r="I245" s="907" t="s">
        <v>294</v>
      </c>
      <c r="J245" s="907"/>
      <c r="K245" s="907"/>
      <c r="L245" s="907"/>
      <c r="M245" s="214"/>
      <c r="N245" s="214"/>
      <c r="O245" s="214"/>
      <c r="P245" s="214"/>
      <c r="Q245" s="568"/>
    </row>
    <row r="246" spans="2:17" x14ac:dyDescent="0.2">
      <c r="B246" s="574" t="s">
        <v>374</v>
      </c>
      <c r="C246" s="214"/>
      <c r="D246" s="214"/>
      <c r="E246" s="214"/>
      <c r="F246" s="214"/>
      <c r="G246" s="214"/>
      <c r="I246" s="907" t="s">
        <v>375</v>
      </c>
      <c r="J246" s="907"/>
      <c r="K246" s="907"/>
      <c r="L246" s="907"/>
      <c r="M246" s="214"/>
      <c r="N246" s="214"/>
      <c r="O246" s="214"/>
      <c r="P246" s="214"/>
      <c r="Q246" s="568"/>
    </row>
    <row r="247" spans="2:17" x14ac:dyDescent="0.2">
      <c r="B247" s="612" t="s">
        <v>295</v>
      </c>
      <c r="C247" s="214"/>
      <c r="D247" s="214"/>
      <c r="E247" s="214"/>
      <c r="F247" s="214"/>
      <c r="G247" s="214"/>
      <c r="I247" s="907" t="s">
        <v>297</v>
      </c>
      <c r="J247" s="907"/>
      <c r="K247" s="907"/>
      <c r="L247" s="907"/>
      <c r="M247" s="214"/>
      <c r="N247" s="214"/>
      <c r="O247" s="214"/>
      <c r="P247" s="214"/>
      <c r="Q247" s="568"/>
    </row>
    <row r="248" spans="2:17" ht="13.5" thickBot="1" x14ac:dyDescent="0.25">
      <c r="B248" s="575"/>
      <c r="C248" s="576"/>
      <c r="D248" s="577"/>
      <c r="E248" s="577"/>
      <c r="F248" s="577"/>
      <c r="G248" s="577"/>
      <c r="H248" s="577"/>
      <c r="I248" s="577"/>
      <c r="J248" s="577"/>
      <c r="K248" s="577"/>
      <c r="L248" s="577"/>
      <c r="M248" s="577"/>
      <c r="N248" s="577"/>
      <c r="O248" s="577"/>
      <c r="P248" s="577"/>
      <c r="Q248" s="578"/>
    </row>
    <row r="249" spans="2:17" x14ac:dyDescent="0.2">
      <c r="B249" s="659" t="s">
        <v>373</v>
      </c>
    </row>
  </sheetData>
  <sheetProtection algorithmName="SHA-512" hashValue="r/d3wpFpItK4z9ZfCTmQoYbxrInw5y/G0cL9MvXnKhkvQ/DPUsNyuIdzssYa5wb4hBkmLaG/aF2+vUknS17qXg==" saltValue="LcbE80SdAYFrMS2RqhlL0g==" spinCount="100000" sheet="1" objects="1" scenarios="1" formatCells="0" formatColumns="0" formatRows="0"/>
  <mergeCells count="14">
    <mergeCell ref="I245:L245"/>
    <mergeCell ref="I247:L247"/>
    <mergeCell ref="I243:K243"/>
    <mergeCell ref="I241:L241"/>
    <mergeCell ref="F223:J223"/>
    <mergeCell ref="D231:G231"/>
    <mergeCell ref="H231:I231"/>
    <mergeCell ref="J231:N231"/>
    <mergeCell ref="D234:G234"/>
    <mergeCell ref="H234:I234"/>
    <mergeCell ref="J234:P234"/>
    <mergeCell ref="I246:L246"/>
    <mergeCell ref="G236:K236"/>
    <mergeCell ref="G237:M237"/>
  </mergeCells>
  <hyperlinks>
    <hyperlink ref="D231" r:id="rId1"/>
    <hyperlink ref="J231" r:id="rId2"/>
    <hyperlink ref="F223" r:id="rId3"/>
    <hyperlink ref="F223:J223" r:id="rId4" display="http://www.electricblues.com/runpro.html"/>
    <hyperlink ref="D234" r:id="rId5" display="http://www.mcmillanrunning.com"/>
    <hyperlink ref="J234" r:id="rId6"/>
    <hyperlink ref="D234:G234" r:id="rId7" display="http://www.joefrielsblog.com/"/>
    <hyperlink ref="B243" r:id="rId8" display="Alan Jones"/>
    <hyperlink ref="I247" r:id="rId9"/>
    <hyperlink ref="I245" r:id="rId10"/>
    <hyperlink ref="I243" r:id="rId11"/>
    <hyperlink ref="I241" r:id="rId12"/>
    <hyperlink ref="I246" r:id="rId13" display="http://www.usatf.org"/>
    <hyperlink ref="I246:L246" r:id="rId14" display="http://usatfmasters.org/wp/2018/08/age-grading/"/>
    <hyperlink ref="G236" r:id="rId15"/>
    <hyperlink ref="G237" r:id="rId16"/>
  </hyperlinks>
  <pageMargins left="0.75" right="0.75" top="1" bottom="1" header="0.5" footer="0.5"/>
  <pageSetup orientation="portrait" horizontalDpi="4294967293" verticalDpi="0" r:id="rId17"/>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97"/>
  <sheetViews>
    <sheetView tabSelected="1" zoomScale="85" zoomScaleNormal="85" workbookViewId="0">
      <selection activeCell="R14" sqref="R14"/>
    </sheetView>
  </sheetViews>
  <sheetFormatPr defaultColWidth="14.42578125" defaultRowHeight="15" x14ac:dyDescent="0.25"/>
  <cols>
    <col min="1" max="1" width="48.140625" style="738" bestFit="1" customWidth="1"/>
    <col min="2" max="2" width="15.140625" style="738" bestFit="1" customWidth="1"/>
    <col min="3" max="3" width="8.7109375" style="738" bestFit="1" customWidth="1"/>
    <col min="4" max="4" width="10.7109375" style="738" bestFit="1" customWidth="1"/>
    <col min="5" max="5" width="2.28515625" style="738" bestFit="1" customWidth="1"/>
    <col min="6" max="6" width="4.7109375" style="738" bestFit="1" customWidth="1"/>
    <col min="7" max="7" width="5.42578125" style="738" customWidth="1"/>
    <col min="8" max="8" width="1.85546875" style="738" customWidth="1"/>
    <col min="9" max="9" width="5.140625" style="738" bestFit="1" customWidth="1"/>
    <col min="10" max="10" width="17.42578125" style="738" customWidth="1"/>
    <col min="11" max="12" width="0.140625" style="738" customWidth="1"/>
    <col min="13" max="15" width="17.42578125" style="738" hidden="1" customWidth="1"/>
    <col min="16" max="17" width="14.42578125" style="738" hidden="1" customWidth="1"/>
    <col min="18" max="16384" width="14.42578125" style="738"/>
  </cols>
  <sheetData>
    <row r="1" spans="1:23" ht="16.899999999999999" customHeight="1" x14ac:dyDescent="0.25">
      <c r="A1" s="845"/>
      <c r="B1" s="845"/>
      <c r="C1" s="845"/>
      <c r="D1" s="845"/>
      <c r="E1" s="845"/>
      <c r="F1" s="845"/>
    </row>
    <row r="2" spans="1:23" ht="14.45" customHeight="1" x14ac:dyDescent="0.25">
      <c r="A2" s="929" t="s">
        <v>663</v>
      </c>
      <c r="B2" s="930"/>
      <c r="C2" s="930"/>
      <c r="D2" s="930"/>
      <c r="E2" s="930"/>
      <c r="F2" s="930"/>
      <c r="G2" s="930"/>
      <c r="H2" s="930"/>
      <c r="I2" s="930"/>
    </row>
    <row r="3" spans="1:23" ht="64.5" customHeight="1" thickBot="1" x14ac:dyDescent="0.3">
      <c r="A3" s="929"/>
      <c r="B3" s="930"/>
      <c r="C3" s="930"/>
      <c r="D3" s="930"/>
      <c r="E3" s="930"/>
      <c r="F3" s="930"/>
      <c r="G3" s="930"/>
      <c r="H3" s="930"/>
      <c r="I3" s="930"/>
    </row>
    <row r="4" spans="1:23" ht="19.5" customHeight="1" thickBot="1" x14ac:dyDescent="0.3">
      <c r="A4" s="846" t="s">
        <v>531</v>
      </c>
      <c r="B4" s="900" t="s">
        <v>54</v>
      </c>
      <c r="C4" s="904"/>
      <c r="D4" s="900" t="s">
        <v>532</v>
      </c>
      <c r="E4" s="906"/>
      <c r="F4" s="905"/>
      <c r="G4" s="901" t="s">
        <v>533</v>
      </c>
      <c r="H4" s="902"/>
      <c r="I4" s="903"/>
      <c r="J4" s="847"/>
      <c r="K4" s="847"/>
      <c r="L4" s="847"/>
      <c r="M4" s="848" t="s">
        <v>529</v>
      </c>
      <c r="N4" s="848" t="s">
        <v>534</v>
      </c>
      <c r="O4" s="848" t="s">
        <v>535</v>
      </c>
      <c r="P4" s="848" t="s">
        <v>536</v>
      </c>
      <c r="Q4" s="848" t="s">
        <v>24</v>
      </c>
      <c r="W4" s="849"/>
    </row>
    <row r="5" spans="1:23" ht="24" customHeight="1" thickBot="1" x14ac:dyDescent="0.3">
      <c r="A5" s="891" t="s">
        <v>659</v>
      </c>
      <c r="B5" s="928">
        <v>0.1875</v>
      </c>
      <c r="C5" s="916"/>
      <c r="D5" s="916"/>
      <c r="E5" s="916"/>
      <c r="F5" s="916"/>
      <c r="G5" s="916"/>
      <c r="H5" s="916"/>
      <c r="I5" s="917"/>
      <c r="J5" s="847"/>
      <c r="K5" s="847"/>
      <c r="L5" s="847"/>
      <c r="M5" s="850">
        <v>0.20486111111111113</v>
      </c>
      <c r="N5" s="851" t="s">
        <v>537</v>
      </c>
      <c r="O5" s="851" t="s">
        <v>538</v>
      </c>
      <c r="P5" s="851" t="s">
        <v>539</v>
      </c>
      <c r="Q5" s="851" t="s">
        <v>540</v>
      </c>
      <c r="W5" s="849"/>
    </row>
    <row r="6" spans="1:23" ht="24" customHeight="1" thickBot="1" x14ac:dyDescent="0.3">
      <c r="A6" s="891" t="s">
        <v>654</v>
      </c>
      <c r="B6" s="915">
        <v>60</v>
      </c>
      <c r="C6" s="916"/>
      <c r="D6" s="916"/>
      <c r="E6" s="916"/>
      <c r="F6" s="916"/>
      <c r="G6" s="916"/>
      <c r="H6" s="916"/>
      <c r="I6" s="917"/>
      <c r="J6" s="847"/>
      <c r="K6" s="847"/>
      <c r="L6" s="847"/>
      <c r="M6" s="850"/>
      <c r="N6" s="851"/>
      <c r="O6" s="851"/>
      <c r="P6" s="851"/>
      <c r="Q6" s="851"/>
      <c r="W6" s="849"/>
    </row>
    <row r="7" spans="1:23" ht="24" customHeight="1" thickBot="1" x14ac:dyDescent="0.3">
      <c r="A7" s="891" t="s">
        <v>541</v>
      </c>
      <c r="B7" s="915">
        <v>190</v>
      </c>
      <c r="C7" s="916"/>
      <c r="D7" s="916"/>
      <c r="E7" s="916"/>
      <c r="F7" s="916"/>
      <c r="G7" s="916"/>
      <c r="H7" s="916"/>
      <c r="I7" s="917"/>
      <c r="J7" s="847"/>
      <c r="K7" s="847"/>
      <c r="L7" s="847"/>
      <c r="M7" s="850">
        <v>0.20138888888888887</v>
      </c>
      <c r="N7" s="851" t="s">
        <v>542</v>
      </c>
      <c r="O7" s="851" t="s">
        <v>543</v>
      </c>
      <c r="P7" s="851" t="s">
        <v>538</v>
      </c>
      <c r="Q7" s="851" t="s">
        <v>543</v>
      </c>
      <c r="R7" s="852"/>
      <c r="S7" s="849"/>
      <c r="T7" s="849"/>
      <c r="U7" s="849"/>
      <c r="V7" s="849"/>
      <c r="W7" s="849"/>
    </row>
    <row r="8" spans="1:23" ht="24" customHeight="1" thickBot="1" x14ac:dyDescent="0.3">
      <c r="A8" s="853" t="s">
        <v>544</v>
      </c>
      <c r="B8" s="854">
        <f>(B5*86400/42.195-0.5)/86400</f>
        <v>4.4378674243920422E-3</v>
      </c>
      <c r="C8" s="855"/>
      <c r="D8" s="856">
        <f>ROUND(B7*G8,0)</f>
        <v>150</v>
      </c>
      <c r="E8" s="857" t="s">
        <v>44</v>
      </c>
      <c r="F8" s="858">
        <f>ROUND(B7*I8,0)</f>
        <v>167</v>
      </c>
      <c r="G8" s="859">
        <v>0.79</v>
      </c>
      <c r="H8" s="857" t="s">
        <v>44</v>
      </c>
      <c r="I8" s="860">
        <v>0.88</v>
      </c>
      <c r="J8" s="847"/>
      <c r="K8" s="847"/>
      <c r="L8" s="847"/>
      <c r="M8" s="850">
        <v>0.19791666666666666</v>
      </c>
      <c r="N8" s="851" t="s">
        <v>545</v>
      </c>
      <c r="O8" s="851" t="s">
        <v>546</v>
      </c>
      <c r="P8" s="851" t="s">
        <v>547</v>
      </c>
      <c r="Q8" s="851" t="s">
        <v>548</v>
      </c>
      <c r="S8" s="847"/>
    </row>
    <row r="9" spans="1:23" ht="24" customHeight="1" thickBot="1" x14ac:dyDescent="0.3">
      <c r="A9" s="853" t="s">
        <v>549</v>
      </c>
      <c r="B9" s="854">
        <f>'Daniels Tables'!P15</f>
        <v>3.9098745353162755E-3</v>
      </c>
      <c r="C9" s="855"/>
      <c r="D9" s="856">
        <f>ROUND(B7*G9,0)</f>
        <v>177</v>
      </c>
      <c r="E9" s="857" t="s">
        <v>44</v>
      </c>
      <c r="F9" s="858">
        <f>ROUND(B7*I9,0)</f>
        <v>181</v>
      </c>
      <c r="G9" s="859">
        <v>0.93</v>
      </c>
      <c r="H9" s="857" t="s">
        <v>44</v>
      </c>
      <c r="I9" s="860">
        <v>0.95</v>
      </c>
      <c r="J9" s="847"/>
      <c r="K9" s="847"/>
      <c r="L9" s="847"/>
      <c r="M9" s="850">
        <v>0.19444444444444445</v>
      </c>
      <c r="N9" s="851" t="s">
        <v>550</v>
      </c>
      <c r="O9" s="851" t="s">
        <v>551</v>
      </c>
      <c r="P9" s="851" t="s">
        <v>552</v>
      </c>
      <c r="Q9" s="851" t="s">
        <v>553</v>
      </c>
      <c r="R9" s="847"/>
      <c r="S9" s="847"/>
    </row>
    <row r="10" spans="1:23" ht="24" customHeight="1" thickBot="1" x14ac:dyDescent="0.3">
      <c r="A10" s="853" t="s">
        <v>554</v>
      </c>
      <c r="B10" s="854">
        <f>'Daniels Tables'!L15</f>
        <v>4.1762846962591178E-3</v>
      </c>
      <c r="C10" s="854">
        <f>'Daniels Tables'!K15</f>
        <v>4.2626382819004249E-3</v>
      </c>
      <c r="D10" s="856">
        <f>ROUND(B7*G10,0)</f>
        <v>156</v>
      </c>
      <c r="E10" s="857" t="s">
        <v>44</v>
      </c>
      <c r="F10" s="858">
        <f>ROUND(B7*I10,0)</f>
        <v>173</v>
      </c>
      <c r="G10" s="859">
        <v>0.82</v>
      </c>
      <c r="H10" s="857" t="s">
        <v>44</v>
      </c>
      <c r="I10" s="860">
        <v>0.91</v>
      </c>
      <c r="J10" s="847"/>
      <c r="K10" s="847"/>
      <c r="L10" s="847"/>
      <c r="M10" s="850">
        <v>0.19097222222222221</v>
      </c>
      <c r="N10" s="851" t="s">
        <v>555</v>
      </c>
      <c r="O10" s="851" t="s">
        <v>556</v>
      </c>
      <c r="P10" s="851" t="s">
        <v>557</v>
      </c>
      <c r="Q10" s="851" t="s">
        <v>558</v>
      </c>
      <c r="R10" s="847"/>
      <c r="S10" s="847"/>
    </row>
    <row r="11" spans="1:23" ht="24" customHeight="1" thickBot="1" x14ac:dyDescent="0.3">
      <c r="A11" s="853" t="s">
        <v>559</v>
      </c>
      <c r="B11" s="854">
        <f>(B5*86400/42.195-0.5)/86400*1.1</f>
        <v>4.8816541668312468E-3</v>
      </c>
      <c r="C11" s="854">
        <f>(B5*86400/42.195-0.5)/86400*1.2</f>
        <v>5.3254409092704505E-3</v>
      </c>
      <c r="D11" s="856">
        <f>ROUND(B7*G11,0)</f>
        <v>141</v>
      </c>
      <c r="E11" s="857" t="s">
        <v>44</v>
      </c>
      <c r="F11" s="858">
        <f>ROUND(B7*I11,0)</f>
        <v>160</v>
      </c>
      <c r="G11" s="859">
        <v>0.74</v>
      </c>
      <c r="H11" s="857" t="s">
        <v>44</v>
      </c>
      <c r="I11" s="860">
        <v>0.84</v>
      </c>
      <c r="J11" s="847"/>
      <c r="K11" s="847"/>
      <c r="L11" s="847"/>
      <c r="M11" s="850">
        <v>0.1875</v>
      </c>
      <c r="N11" s="851" t="s">
        <v>560</v>
      </c>
      <c r="O11" s="851" t="s">
        <v>561</v>
      </c>
      <c r="P11" s="851" t="s">
        <v>556</v>
      </c>
      <c r="Q11" s="851" t="s">
        <v>550</v>
      </c>
      <c r="R11" s="847"/>
      <c r="S11" s="847"/>
    </row>
    <row r="12" spans="1:23" ht="24" customHeight="1" thickBot="1" x14ac:dyDescent="0.3">
      <c r="A12" s="853" t="s">
        <v>562</v>
      </c>
      <c r="B12" s="854">
        <f>(B5*86400/42.195-0.5)/86400*1.15</f>
        <v>5.1035475380508477E-3</v>
      </c>
      <c r="C12" s="854">
        <f>(B5*86400/42.195-0.5)/86400*1.25</f>
        <v>5.5473342804900523E-3</v>
      </c>
      <c r="D12" s="856">
        <f>ROUND(B7*G12,0)</f>
        <v>133</v>
      </c>
      <c r="E12" s="857" t="s">
        <v>44</v>
      </c>
      <c r="F12" s="858">
        <f>ROUND(B7*I12,0)</f>
        <v>154</v>
      </c>
      <c r="G12" s="859">
        <v>0.7</v>
      </c>
      <c r="H12" s="857" t="s">
        <v>44</v>
      </c>
      <c r="I12" s="860">
        <v>0.81</v>
      </c>
      <c r="J12" s="847"/>
      <c r="K12" s="847"/>
      <c r="L12" s="847"/>
      <c r="M12" s="850">
        <v>0.18402777777777779</v>
      </c>
      <c r="N12" s="851" t="s">
        <v>563</v>
      </c>
      <c r="O12" s="851" t="s">
        <v>564</v>
      </c>
      <c r="P12" s="851" t="s">
        <v>565</v>
      </c>
      <c r="Q12" s="851" t="s">
        <v>566</v>
      </c>
      <c r="R12" s="847"/>
      <c r="S12" s="847"/>
    </row>
    <row r="13" spans="1:23" ht="24" customHeight="1" thickBot="1" x14ac:dyDescent="0.3">
      <c r="A13" s="853" t="s">
        <v>567</v>
      </c>
      <c r="B13" s="854">
        <f>(B5*86400/42.195-0.5)/86400*1.3</f>
        <v>5.769227651709655E-3</v>
      </c>
      <c r="C13" s="854"/>
      <c r="D13" s="856"/>
      <c r="E13" s="857" t="s">
        <v>568</v>
      </c>
      <c r="F13" s="858">
        <f>ROUND(B7*I13,0)</f>
        <v>144</v>
      </c>
      <c r="G13" s="861"/>
      <c r="H13" s="857" t="s">
        <v>568</v>
      </c>
      <c r="I13" s="860">
        <v>0.76</v>
      </c>
      <c r="J13" s="847"/>
      <c r="K13" s="847"/>
      <c r="L13" s="847"/>
      <c r="M13" s="850">
        <v>0.18055555555555555</v>
      </c>
      <c r="N13" s="851" t="s">
        <v>569</v>
      </c>
      <c r="O13" s="851" t="s">
        <v>570</v>
      </c>
      <c r="P13" s="851" t="s">
        <v>564</v>
      </c>
      <c r="Q13" s="851" t="s">
        <v>571</v>
      </c>
      <c r="R13" s="847"/>
      <c r="S13" s="847"/>
    </row>
    <row r="14" spans="1:23" ht="24" customHeight="1" thickBot="1" x14ac:dyDescent="0.3">
      <c r="A14" s="853" t="s">
        <v>572</v>
      </c>
      <c r="B14" s="854">
        <f>'Daniels Tables'!N15</f>
        <v>4.0759103322518097E-3</v>
      </c>
      <c r="C14" s="862"/>
      <c r="D14" s="863"/>
      <c r="E14" s="864"/>
      <c r="F14" s="865"/>
      <c r="G14" s="866"/>
      <c r="H14" s="867"/>
      <c r="I14" s="868"/>
      <c r="M14" s="850">
        <v>0.17708333333333334</v>
      </c>
      <c r="N14" s="851" t="s">
        <v>573</v>
      </c>
      <c r="O14" s="851" t="s">
        <v>574</v>
      </c>
      <c r="P14" s="851" t="s">
        <v>575</v>
      </c>
      <c r="Q14" s="869" t="s">
        <v>563</v>
      </c>
    </row>
    <row r="15" spans="1:23" x14ac:dyDescent="0.25">
      <c r="A15" s="845"/>
      <c r="B15" s="845"/>
      <c r="C15" s="845"/>
      <c r="D15" s="845"/>
      <c r="E15" s="845"/>
      <c r="F15" s="845"/>
      <c r="H15" s="870"/>
      <c r="M15" s="850">
        <v>0.17361111111111113</v>
      </c>
      <c r="N15" s="851" t="s">
        <v>576</v>
      </c>
      <c r="O15" s="851" t="s">
        <v>577</v>
      </c>
      <c r="P15" s="851" t="s">
        <v>574</v>
      </c>
      <c r="Q15" s="869" t="s">
        <v>578</v>
      </c>
    </row>
    <row r="16" spans="1:23" ht="19.5" thickBot="1" x14ac:dyDescent="0.35">
      <c r="A16" s="880" t="s">
        <v>579</v>
      </c>
      <c r="B16" s="845"/>
      <c r="C16" s="845"/>
      <c r="D16" s="845"/>
      <c r="E16" s="845"/>
      <c r="F16" s="845"/>
      <c r="H16" s="870"/>
      <c r="M16" s="850"/>
      <c r="N16" s="851"/>
      <c r="O16" s="851"/>
      <c r="P16" s="851"/>
      <c r="Q16" s="869"/>
    </row>
    <row r="17" spans="1:17" ht="19.5" thickBot="1" x14ac:dyDescent="0.3">
      <c r="A17" s="883" t="s">
        <v>655</v>
      </c>
      <c r="B17" s="884">
        <v>26831</v>
      </c>
      <c r="C17" s="845"/>
      <c r="D17" s="845"/>
      <c r="E17" s="845"/>
      <c r="F17" s="845"/>
      <c r="H17" s="870"/>
      <c r="M17" s="850"/>
      <c r="N17" s="851"/>
      <c r="O17" s="851"/>
      <c r="P17" s="851"/>
      <c r="Q17" s="869"/>
    </row>
    <row r="18" spans="1:17" ht="19.5" thickBot="1" x14ac:dyDescent="0.35">
      <c r="A18" s="885" t="s">
        <v>656</v>
      </c>
      <c r="B18" s="886">
        <f ca="1">'Daniels Tables'!E5</f>
        <v>48</v>
      </c>
      <c r="C18" s="882" t="s">
        <v>580</v>
      </c>
      <c r="D18" s="871" t="s">
        <v>581</v>
      </c>
      <c r="E18" s="871"/>
      <c r="F18" s="871" t="s">
        <v>582</v>
      </c>
      <c r="G18" s="872"/>
      <c r="H18" s="872"/>
      <c r="I18" s="872"/>
      <c r="M18" s="850">
        <v>0.17013888888888887</v>
      </c>
      <c r="N18" s="851" t="s">
        <v>583</v>
      </c>
      <c r="O18" s="851" t="s">
        <v>584</v>
      </c>
      <c r="P18" s="851" t="s">
        <v>577</v>
      </c>
      <c r="Q18" s="869" t="s">
        <v>585</v>
      </c>
    </row>
    <row r="19" spans="1:17" ht="22.5" customHeight="1" thickBot="1" x14ac:dyDescent="0.3">
      <c r="A19" s="921" t="s">
        <v>657</v>
      </c>
      <c r="B19" s="922"/>
      <c r="C19" s="887">
        <f ca="1">220-B18</f>
        <v>172</v>
      </c>
      <c r="D19" s="889">
        <f ca="1">C19-10</f>
        <v>162</v>
      </c>
      <c r="E19" s="887" t="s">
        <v>44</v>
      </c>
      <c r="F19" s="889">
        <f ca="1">C19+10</f>
        <v>182</v>
      </c>
      <c r="H19" s="870"/>
      <c r="M19" s="850">
        <v>0.16666666666666666</v>
      </c>
      <c r="N19" s="851" t="s">
        <v>586</v>
      </c>
      <c r="O19" s="851" t="s">
        <v>587</v>
      </c>
      <c r="P19" s="851" t="s">
        <v>584</v>
      </c>
      <c r="Q19" s="869" t="s">
        <v>588</v>
      </c>
    </row>
    <row r="20" spans="1:17" ht="22.5" customHeight="1" thickBot="1" x14ac:dyDescent="0.3">
      <c r="A20" s="923" t="s">
        <v>658</v>
      </c>
      <c r="B20" s="924"/>
      <c r="C20" s="873">
        <f ca="1">ROUND(207-0.7*B18,0)</f>
        <v>173</v>
      </c>
      <c r="D20" s="889">
        <f ca="1">C20-10</f>
        <v>163</v>
      </c>
      <c r="E20" s="873" t="s">
        <v>44</v>
      </c>
      <c r="F20" s="889">
        <f ca="1">C20+10</f>
        <v>183</v>
      </c>
      <c r="M20" s="850">
        <v>0.16319444444444445</v>
      </c>
      <c r="N20" s="851" t="s">
        <v>589</v>
      </c>
      <c r="O20" s="851" t="s">
        <v>576</v>
      </c>
      <c r="P20" s="851" t="s">
        <v>587</v>
      </c>
      <c r="Q20" s="869" t="s">
        <v>590</v>
      </c>
    </row>
    <row r="21" spans="1:17" ht="22.5" customHeight="1" thickBot="1" x14ac:dyDescent="0.3">
      <c r="A21" s="890" t="s">
        <v>591</v>
      </c>
      <c r="B21" s="887"/>
      <c r="C21" s="887"/>
      <c r="D21" s="887"/>
      <c r="E21" s="887"/>
      <c r="F21" s="888"/>
      <c r="M21" s="850"/>
      <c r="N21" s="851"/>
      <c r="O21" s="851"/>
      <c r="P21" s="851"/>
      <c r="Q21" s="869"/>
    </row>
    <row r="22" spans="1:17" ht="22.5" customHeight="1" x14ac:dyDescent="0.25">
      <c r="A22" s="874"/>
      <c r="B22" s="875"/>
      <c r="C22" s="875"/>
      <c r="D22" s="875"/>
      <c r="E22" s="875"/>
      <c r="F22" s="875"/>
      <c r="M22" s="850"/>
      <c r="N22" s="851"/>
      <c r="O22" s="851"/>
      <c r="P22" s="851"/>
      <c r="Q22" s="869"/>
    </row>
    <row r="23" spans="1:17" ht="15.75" thickBot="1" x14ac:dyDescent="0.3">
      <c r="A23" s="845"/>
      <c r="B23" s="845"/>
      <c r="C23" s="845"/>
      <c r="D23" s="845"/>
      <c r="E23" s="845"/>
      <c r="F23" s="845"/>
      <c r="M23" s="850">
        <v>0.15972222222222224</v>
      </c>
      <c r="N23" s="851" t="s">
        <v>592</v>
      </c>
      <c r="O23" s="851" t="s">
        <v>583</v>
      </c>
      <c r="P23" s="851" t="s">
        <v>576</v>
      </c>
      <c r="Q23" s="869" t="s">
        <v>593</v>
      </c>
    </row>
    <row r="24" spans="1:17" ht="15.75" x14ac:dyDescent="0.25">
      <c r="A24" s="876" t="s">
        <v>594</v>
      </c>
      <c r="B24" s="925" t="s">
        <v>595</v>
      </c>
      <c r="C24" s="926"/>
      <c r="D24" s="926"/>
      <c r="E24" s="926"/>
      <c r="F24" s="926"/>
      <c r="G24" s="927"/>
      <c r="M24" s="850">
        <v>0.15625</v>
      </c>
      <c r="N24" s="851" t="s">
        <v>596</v>
      </c>
      <c r="O24" s="851" t="s">
        <v>597</v>
      </c>
      <c r="P24" s="851" t="s">
        <v>583</v>
      </c>
      <c r="Q24" s="869" t="s">
        <v>598</v>
      </c>
    </row>
    <row r="25" spans="1:17" ht="15.75" x14ac:dyDescent="0.25">
      <c r="A25" s="877" t="s">
        <v>457</v>
      </c>
      <c r="B25" s="918" t="s">
        <v>599</v>
      </c>
      <c r="C25" s="919"/>
      <c r="D25" s="919"/>
      <c r="E25" s="919"/>
      <c r="F25" s="919"/>
      <c r="G25" s="920"/>
      <c r="M25" s="850">
        <v>0.15277777777777776</v>
      </c>
      <c r="N25" s="869" t="s">
        <v>600</v>
      </c>
      <c r="O25" s="869" t="s">
        <v>601</v>
      </c>
      <c r="P25" s="869" t="s">
        <v>597</v>
      </c>
      <c r="Q25" s="869" t="s">
        <v>602</v>
      </c>
    </row>
    <row r="26" spans="1:17" ht="15.75" x14ac:dyDescent="0.25">
      <c r="A26" s="877" t="s">
        <v>603</v>
      </c>
      <c r="B26" s="918" t="s">
        <v>604</v>
      </c>
      <c r="C26" s="919"/>
      <c r="D26" s="919"/>
      <c r="E26" s="919"/>
      <c r="F26" s="919"/>
      <c r="G26" s="920"/>
      <c r="M26" s="850">
        <v>0.14930555555555555</v>
      </c>
      <c r="N26" s="869" t="s">
        <v>605</v>
      </c>
      <c r="O26" s="869" t="s">
        <v>602</v>
      </c>
      <c r="P26" s="869" t="s">
        <v>601</v>
      </c>
      <c r="Q26" s="869" t="s">
        <v>606</v>
      </c>
    </row>
    <row r="27" spans="1:17" ht="15.75" x14ac:dyDescent="0.25">
      <c r="A27" s="877" t="s">
        <v>607</v>
      </c>
      <c r="B27" s="918" t="s">
        <v>608</v>
      </c>
      <c r="C27" s="919"/>
      <c r="D27" s="919"/>
      <c r="E27" s="919"/>
      <c r="F27" s="919"/>
      <c r="G27" s="920"/>
      <c r="M27" s="850">
        <v>0.14583333333333334</v>
      </c>
      <c r="N27" s="869" t="s">
        <v>609</v>
      </c>
      <c r="O27" s="869" t="s">
        <v>606</v>
      </c>
      <c r="P27" s="869" t="s">
        <v>602</v>
      </c>
      <c r="Q27" s="869" t="s">
        <v>610</v>
      </c>
    </row>
    <row r="28" spans="1:17" ht="15.75" customHeight="1" x14ac:dyDescent="0.25">
      <c r="A28" s="877" t="s">
        <v>611</v>
      </c>
      <c r="B28" s="918" t="s">
        <v>612</v>
      </c>
      <c r="C28" s="919"/>
      <c r="D28" s="919"/>
      <c r="E28" s="919"/>
      <c r="F28" s="919"/>
      <c r="G28" s="920"/>
      <c r="M28" s="850">
        <v>0.1423611111111111</v>
      </c>
      <c r="N28" s="851" t="s">
        <v>613</v>
      </c>
      <c r="O28" s="851" t="s">
        <v>610</v>
      </c>
      <c r="P28" s="851" t="s">
        <v>614</v>
      </c>
      <c r="Q28" s="869" t="s">
        <v>615</v>
      </c>
    </row>
    <row r="29" spans="1:17" ht="15.75" customHeight="1" x14ac:dyDescent="0.25">
      <c r="A29" s="877" t="s">
        <v>616</v>
      </c>
      <c r="B29" s="918" t="s">
        <v>617</v>
      </c>
      <c r="C29" s="919"/>
      <c r="D29" s="919"/>
      <c r="E29" s="919"/>
      <c r="F29" s="919"/>
      <c r="G29" s="920"/>
      <c r="M29" s="850">
        <v>0.1388888888888889</v>
      </c>
      <c r="N29" s="869" t="s">
        <v>618</v>
      </c>
      <c r="O29" s="869" t="s">
        <v>615</v>
      </c>
      <c r="P29" s="869" t="s">
        <v>610</v>
      </c>
      <c r="Q29" s="869" t="s">
        <v>619</v>
      </c>
    </row>
    <row r="30" spans="1:17" ht="15.75" customHeight="1" x14ac:dyDescent="0.25">
      <c r="A30" s="877" t="s">
        <v>455</v>
      </c>
      <c r="B30" s="918" t="s">
        <v>620</v>
      </c>
      <c r="C30" s="919"/>
      <c r="D30" s="919"/>
      <c r="E30" s="919"/>
      <c r="F30" s="919"/>
      <c r="G30" s="920"/>
      <c r="M30" s="850">
        <v>0.13541666666666666</v>
      </c>
      <c r="N30" s="869" t="s">
        <v>621</v>
      </c>
      <c r="O30" s="869" t="s">
        <v>622</v>
      </c>
      <c r="P30" s="869" t="s">
        <v>623</v>
      </c>
      <c r="Q30" s="869" t="s">
        <v>624</v>
      </c>
    </row>
    <row r="31" spans="1:17" ht="15.75" customHeight="1" x14ac:dyDescent="0.25">
      <c r="A31" s="877" t="s">
        <v>625</v>
      </c>
      <c r="B31" s="918" t="s">
        <v>626</v>
      </c>
      <c r="C31" s="919"/>
      <c r="D31" s="919"/>
      <c r="E31" s="919"/>
      <c r="F31" s="919"/>
      <c r="G31" s="920"/>
      <c r="M31" s="850">
        <v>0.13194444444444445</v>
      </c>
      <c r="N31" s="869" t="s">
        <v>627</v>
      </c>
      <c r="O31" s="869" t="s">
        <v>624</v>
      </c>
      <c r="P31" s="869" t="s">
        <v>622</v>
      </c>
      <c r="Q31" s="869" t="s">
        <v>628</v>
      </c>
    </row>
    <row r="32" spans="1:17" ht="15.75" customHeight="1" x14ac:dyDescent="0.25">
      <c r="A32" s="877" t="s">
        <v>629</v>
      </c>
      <c r="B32" s="918" t="s">
        <v>472</v>
      </c>
      <c r="C32" s="919"/>
      <c r="D32" s="919"/>
      <c r="E32" s="919"/>
      <c r="F32" s="919"/>
      <c r="G32" s="920"/>
      <c r="M32" s="850">
        <v>0.12847222222222224</v>
      </c>
      <c r="N32" s="869" t="s">
        <v>630</v>
      </c>
      <c r="O32" s="869" t="s">
        <v>628</v>
      </c>
      <c r="P32" s="869" t="s">
        <v>631</v>
      </c>
      <c r="Q32" s="869" t="s">
        <v>632</v>
      </c>
    </row>
    <row r="33" spans="1:17" ht="15.75" customHeight="1" x14ac:dyDescent="0.25">
      <c r="A33" s="877" t="s">
        <v>633</v>
      </c>
      <c r="B33" s="918" t="s">
        <v>634</v>
      </c>
      <c r="C33" s="919"/>
      <c r="D33" s="919"/>
      <c r="E33" s="919"/>
      <c r="F33" s="919"/>
      <c r="G33" s="920"/>
      <c r="M33" s="850">
        <v>0.125</v>
      </c>
      <c r="N33" s="869" t="s">
        <v>635</v>
      </c>
      <c r="O33" s="869" t="s">
        <v>636</v>
      </c>
      <c r="P33" s="869" t="s">
        <v>637</v>
      </c>
      <c r="Q33" s="869" t="s">
        <v>638</v>
      </c>
    </row>
    <row r="34" spans="1:17" ht="15.75" customHeight="1" thickBot="1" x14ac:dyDescent="0.3">
      <c r="A34" s="878" t="s">
        <v>639</v>
      </c>
      <c r="B34" s="912" t="s">
        <v>640</v>
      </c>
      <c r="C34" s="913"/>
      <c r="D34" s="913"/>
      <c r="E34" s="913"/>
      <c r="F34" s="913"/>
      <c r="G34" s="914"/>
      <c r="M34" s="850">
        <v>0.12152777777777778</v>
      </c>
      <c r="N34" s="869" t="s">
        <v>641</v>
      </c>
      <c r="O34" s="869" t="s">
        <v>642</v>
      </c>
      <c r="P34" s="869" t="s">
        <v>643</v>
      </c>
      <c r="Q34" s="869" t="s">
        <v>644</v>
      </c>
    </row>
    <row r="35" spans="1:17" ht="15.75" customHeight="1" x14ac:dyDescent="0.25">
      <c r="A35" s="845"/>
      <c r="B35" s="845"/>
      <c r="C35" s="845"/>
      <c r="D35" s="845"/>
      <c r="E35" s="845"/>
      <c r="F35" s="845"/>
      <c r="M35" s="850">
        <v>0.24305555555555555</v>
      </c>
      <c r="N35" s="869" t="s">
        <v>645</v>
      </c>
      <c r="O35" s="869" t="s">
        <v>635</v>
      </c>
      <c r="P35" s="869" t="s">
        <v>646</v>
      </c>
      <c r="Q35" s="869" t="s">
        <v>647</v>
      </c>
    </row>
    <row r="36" spans="1:17" ht="15.75" customHeight="1" x14ac:dyDescent="0.25">
      <c r="A36" s="845"/>
      <c r="B36" s="845"/>
      <c r="C36" s="845"/>
      <c r="D36" s="845"/>
      <c r="E36" s="845"/>
      <c r="F36" s="845"/>
      <c r="M36" s="850">
        <v>0.11458333333333333</v>
      </c>
      <c r="N36" s="869" t="s">
        <v>648</v>
      </c>
      <c r="O36" s="869" t="s">
        <v>641</v>
      </c>
      <c r="P36" s="869" t="s">
        <v>649</v>
      </c>
      <c r="Q36" s="869" t="s">
        <v>650</v>
      </c>
    </row>
    <row r="37" spans="1:17" ht="15.75" customHeight="1" x14ac:dyDescent="0.25">
      <c r="A37" s="845"/>
      <c r="B37" s="845"/>
      <c r="C37" s="845"/>
      <c r="D37" s="845"/>
      <c r="E37" s="845"/>
      <c r="F37" s="845"/>
      <c r="M37" s="850">
        <v>0.1111111111111111</v>
      </c>
      <c r="N37" s="869" t="s">
        <v>651</v>
      </c>
      <c r="O37" s="869" t="s">
        <v>645</v>
      </c>
      <c r="P37" s="869" t="s">
        <v>652</v>
      </c>
      <c r="Q37" s="869" t="s">
        <v>653</v>
      </c>
    </row>
    <row r="38" spans="1:17" ht="15.75" customHeight="1" x14ac:dyDescent="0.25">
      <c r="A38" s="845"/>
      <c r="B38" s="845"/>
      <c r="C38" s="845"/>
      <c r="D38" s="845"/>
      <c r="E38" s="845"/>
      <c r="F38" s="845"/>
      <c r="M38" s="850"/>
      <c r="N38" s="879"/>
      <c r="O38" s="879"/>
      <c r="P38" s="879"/>
      <c r="Q38" s="879"/>
    </row>
    <row r="39" spans="1:17" ht="15.75" customHeight="1" x14ac:dyDescent="0.25">
      <c r="A39" s="845"/>
      <c r="B39" s="845"/>
      <c r="C39" s="845"/>
      <c r="D39" s="845"/>
      <c r="E39" s="845"/>
      <c r="F39" s="845"/>
    </row>
    <row r="40" spans="1:17" ht="15.75" customHeight="1" x14ac:dyDescent="0.25">
      <c r="A40" s="845"/>
      <c r="B40" s="845"/>
      <c r="C40" s="845"/>
      <c r="D40" s="845"/>
      <c r="E40" s="845"/>
      <c r="F40" s="845"/>
    </row>
    <row r="41" spans="1:17" ht="15.75" customHeight="1" x14ac:dyDescent="0.25">
      <c r="A41" s="845"/>
      <c r="B41" s="845"/>
      <c r="C41" s="845"/>
      <c r="D41" s="845"/>
      <c r="E41" s="845"/>
      <c r="F41" s="845"/>
    </row>
    <row r="42" spans="1:17" ht="15.75" customHeight="1" x14ac:dyDescent="0.25">
      <c r="A42" s="845"/>
      <c r="B42" s="845"/>
      <c r="C42" s="845"/>
      <c r="D42" s="845"/>
      <c r="E42" s="845"/>
      <c r="F42" s="845"/>
    </row>
    <row r="43" spans="1:17" ht="15.75" customHeight="1" x14ac:dyDescent="0.25">
      <c r="A43" s="845"/>
      <c r="B43" s="845"/>
      <c r="C43" s="845"/>
      <c r="D43" s="845"/>
      <c r="E43" s="845"/>
      <c r="F43" s="845"/>
    </row>
    <row r="44" spans="1:17" ht="15.75" customHeight="1" x14ac:dyDescent="0.25">
      <c r="A44" s="845"/>
      <c r="B44" s="845"/>
      <c r="C44" s="845"/>
      <c r="D44" s="845"/>
      <c r="E44" s="845"/>
      <c r="F44" s="845"/>
    </row>
    <row r="45" spans="1:17" ht="15.75" customHeight="1" x14ac:dyDescent="0.25">
      <c r="A45" s="845"/>
      <c r="B45" s="845"/>
      <c r="C45" s="845"/>
      <c r="D45" s="845"/>
      <c r="E45" s="845"/>
      <c r="F45" s="845"/>
    </row>
    <row r="46" spans="1:17" ht="15.75" customHeight="1" x14ac:dyDescent="0.25">
      <c r="A46" s="845"/>
      <c r="B46" s="845"/>
      <c r="C46" s="845"/>
      <c r="D46" s="845"/>
      <c r="E46" s="845"/>
      <c r="F46" s="845"/>
    </row>
    <row r="47" spans="1:17" ht="15.75" customHeight="1" x14ac:dyDescent="0.25">
      <c r="A47" s="845"/>
      <c r="B47" s="845"/>
      <c r="C47" s="845"/>
      <c r="D47" s="845"/>
      <c r="E47" s="845"/>
      <c r="F47" s="845"/>
    </row>
    <row r="48" spans="1:17" ht="15.75" customHeight="1" x14ac:dyDescent="0.25">
      <c r="A48" s="845"/>
      <c r="B48" s="845"/>
      <c r="C48" s="845"/>
      <c r="D48" s="845"/>
      <c r="E48" s="845"/>
      <c r="F48" s="845"/>
    </row>
    <row r="49" spans="1:6" ht="15.75" customHeight="1" x14ac:dyDescent="0.25">
      <c r="A49" s="845"/>
      <c r="B49" s="845"/>
      <c r="C49" s="845"/>
      <c r="D49" s="845"/>
      <c r="E49" s="845"/>
      <c r="F49" s="845"/>
    </row>
    <row r="50" spans="1:6" ht="15.75" customHeight="1" x14ac:dyDescent="0.25">
      <c r="A50" s="845"/>
      <c r="B50" s="845"/>
      <c r="C50" s="845"/>
      <c r="D50" s="845"/>
      <c r="E50" s="845"/>
      <c r="F50" s="845"/>
    </row>
    <row r="51" spans="1:6" ht="15.75" customHeight="1" x14ac:dyDescent="0.25">
      <c r="A51" s="845"/>
      <c r="B51" s="845"/>
      <c r="C51" s="845"/>
      <c r="D51" s="845"/>
      <c r="E51" s="845"/>
      <c r="F51" s="845"/>
    </row>
    <row r="52" spans="1:6" ht="15.75" customHeight="1" x14ac:dyDescent="0.25">
      <c r="A52" s="845"/>
      <c r="B52" s="845"/>
      <c r="C52" s="845"/>
      <c r="D52" s="845"/>
      <c r="E52" s="845"/>
      <c r="F52" s="845"/>
    </row>
    <row r="53" spans="1:6" ht="15.75" customHeight="1" x14ac:dyDescent="0.25">
      <c r="A53" s="845"/>
      <c r="B53" s="845"/>
      <c r="C53" s="845"/>
      <c r="D53" s="845"/>
      <c r="E53" s="845"/>
      <c r="F53" s="845"/>
    </row>
    <row r="54" spans="1:6" ht="15.75" customHeight="1" x14ac:dyDescent="0.25">
      <c r="A54" s="845"/>
      <c r="B54" s="845"/>
      <c r="C54" s="845"/>
      <c r="D54" s="845"/>
      <c r="E54" s="845"/>
      <c r="F54" s="845"/>
    </row>
    <row r="55" spans="1:6" ht="15.75" customHeight="1" x14ac:dyDescent="0.25">
      <c r="A55" s="845"/>
      <c r="B55" s="845"/>
      <c r="C55" s="845"/>
      <c r="D55" s="845"/>
      <c r="E55" s="845"/>
      <c r="F55" s="845"/>
    </row>
    <row r="56" spans="1:6" ht="15.75" customHeight="1" x14ac:dyDescent="0.25">
      <c r="A56" s="845"/>
      <c r="B56" s="845"/>
      <c r="C56" s="845"/>
      <c r="D56" s="845"/>
      <c r="E56" s="845"/>
      <c r="F56" s="845"/>
    </row>
    <row r="57" spans="1:6" ht="15.75" customHeight="1" x14ac:dyDescent="0.25">
      <c r="A57" s="845"/>
      <c r="B57" s="845"/>
      <c r="C57" s="845"/>
      <c r="D57" s="845"/>
      <c r="E57" s="845"/>
      <c r="F57" s="845"/>
    </row>
    <row r="58" spans="1:6" ht="15.75" customHeight="1" x14ac:dyDescent="0.25">
      <c r="A58" s="845"/>
      <c r="B58" s="845"/>
      <c r="C58" s="845"/>
      <c r="D58" s="845"/>
      <c r="E58" s="845"/>
      <c r="F58" s="845"/>
    </row>
    <row r="59" spans="1:6" ht="15.75" customHeight="1" x14ac:dyDescent="0.25">
      <c r="A59" s="845"/>
      <c r="B59" s="845"/>
      <c r="C59" s="845"/>
      <c r="D59" s="845"/>
      <c r="E59" s="845"/>
      <c r="F59" s="845"/>
    </row>
    <row r="60" spans="1:6" ht="15.75" customHeight="1" x14ac:dyDescent="0.25">
      <c r="A60" s="845"/>
      <c r="B60" s="845"/>
      <c r="C60" s="845"/>
      <c r="D60" s="845"/>
      <c r="E60" s="845"/>
      <c r="F60" s="845"/>
    </row>
    <row r="61" spans="1:6" ht="15.75" customHeight="1" x14ac:dyDescent="0.25">
      <c r="A61" s="845"/>
      <c r="B61" s="845"/>
      <c r="C61" s="845"/>
      <c r="D61" s="845"/>
      <c r="E61" s="845"/>
      <c r="F61" s="845"/>
    </row>
    <row r="62" spans="1:6" ht="15.75" customHeight="1" x14ac:dyDescent="0.25">
      <c r="A62" s="845"/>
      <c r="B62" s="845"/>
      <c r="C62" s="845"/>
      <c r="D62" s="845"/>
      <c r="E62" s="845"/>
      <c r="F62" s="845"/>
    </row>
    <row r="63" spans="1:6" ht="15.75" customHeight="1" x14ac:dyDescent="0.25">
      <c r="A63" s="845"/>
      <c r="B63" s="845"/>
      <c r="C63" s="845"/>
      <c r="D63" s="845"/>
      <c r="E63" s="845"/>
      <c r="F63" s="845"/>
    </row>
    <row r="64" spans="1:6" ht="15.75" customHeight="1" x14ac:dyDescent="0.25">
      <c r="A64" s="845"/>
      <c r="B64" s="845"/>
      <c r="C64" s="845"/>
      <c r="D64" s="845"/>
      <c r="E64" s="845"/>
      <c r="F64" s="845"/>
    </row>
    <row r="65" spans="1:6" ht="15.75" customHeight="1" x14ac:dyDescent="0.25">
      <c r="A65" s="845"/>
      <c r="B65" s="845"/>
      <c r="C65" s="845"/>
      <c r="D65" s="845"/>
      <c r="E65" s="845"/>
      <c r="F65" s="845"/>
    </row>
    <row r="66" spans="1:6" ht="15.75" customHeight="1" x14ac:dyDescent="0.25">
      <c r="A66" s="845"/>
      <c r="B66" s="845"/>
      <c r="C66" s="845"/>
      <c r="D66" s="845"/>
      <c r="E66" s="845"/>
      <c r="F66" s="845"/>
    </row>
    <row r="67" spans="1:6" ht="15.75" customHeight="1" x14ac:dyDescent="0.25">
      <c r="A67" s="845"/>
      <c r="B67" s="845"/>
      <c r="C67" s="845"/>
      <c r="D67" s="845"/>
      <c r="E67" s="845"/>
      <c r="F67" s="845"/>
    </row>
    <row r="68" spans="1:6" ht="15.75" customHeight="1" x14ac:dyDescent="0.25">
      <c r="A68" s="845"/>
      <c r="B68" s="845"/>
      <c r="C68" s="845"/>
      <c r="D68" s="845"/>
      <c r="E68" s="845"/>
      <c r="F68" s="845"/>
    </row>
    <row r="69" spans="1:6" ht="15.75" customHeight="1" x14ac:dyDescent="0.25">
      <c r="A69" s="845"/>
      <c r="B69" s="845"/>
      <c r="C69" s="845"/>
      <c r="D69" s="845"/>
      <c r="E69" s="845"/>
      <c r="F69" s="845"/>
    </row>
    <row r="70" spans="1:6" ht="15.75" customHeight="1" x14ac:dyDescent="0.25">
      <c r="A70" s="845"/>
      <c r="B70" s="845"/>
      <c r="C70" s="845"/>
      <c r="D70" s="845"/>
      <c r="E70" s="845"/>
      <c r="F70" s="845"/>
    </row>
    <row r="71" spans="1:6" ht="15.75" customHeight="1" x14ac:dyDescent="0.25">
      <c r="A71" s="845"/>
      <c r="B71" s="845"/>
      <c r="C71" s="845"/>
      <c r="D71" s="845"/>
      <c r="E71" s="845"/>
      <c r="F71" s="845"/>
    </row>
    <row r="72" spans="1:6" ht="15.75" customHeight="1" x14ac:dyDescent="0.25">
      <c r="A72" s="845"/>
      <c r="B72" s="845"/>
      <c r="C72" s="845"/>
      <c r="D72" s="845"/>
      <c r="E72" s="845"/>
      <c r="F72" s="845"/>
    </row>
    <row r="73" spans="1:6" ht="15.75" customHeight="1" x14ac:dyDescent="0.25">
      <c r="A73" s="845"/>
      <c r="B73" s="845"/>
      <c r="C73" s="845"/>
      <c r="D73" s="845"/>
      <c r="E73" s="845"/>
      <c r="F73" s="845"/>
    </row>
    <row r="74" spans="1:6" ht="15.75" customHeight="1" x14ac:dyDescent="0.25">
      <c r="A74" s="845"/>
      <c r="B74" s="845"/>
      <c r="C74" s="845"/>
      <c r="D74" s="845"/>
      <c r="E74" s="845"/>
      <c r="F74" s="845"/>
    </row>
    <row r="75" spans="1:6" ht="15.75" customHeight="1" x14ac:dyDescent="0.25">
      <c r="A75" s="845"/>
      <c r="B75" s="845"/>
      <c r="C75" s="845"/>
      <c r="D75" s="845"/>
      <c r="E75" s="845"/>
      <c r="F75" s="845"/>
    </row>
    <row r="76" spans="1:6" ht="15.75" customHeight="1" x14ac:dyDescent="0.25">
      <c r="A76" s="845"/>
      <c r="B76" s="845"/>
      <c r="C76" s="845"/>
      <c r="D76" s="845"/>
      <c r="E76" s="845"/>
      <c r="F76" s="845"/>
    </row>
    <row r="77" spans="1:6" ht="15.75" customHeight="1" x14ac:dyDescent="0.25">
      <c r="A77" s="845"/>
      <c r="B77" s="845"/>
      <c r="C77" s="845"/>
      <c r="D77" s="845"/>
      <c r="E77" s="845"/>
      <c r="F77" s="845"/>
    </row>
    <row r="78" spans="1:6" ht="15.75" customHeight="1" x14ac:dyDescent="0.25">
      <c r="A78" s="845"/>
      <c r="B78" s="845"/>
      <c r="C78" s="845"/>
      <c r="D78" s="845"/>
      <c r="E78" s="845"/>
      <c r="F78" s="845"/>
    </row>
    <row r="79" spans="1:6" ht="15.75" customHeight="1" x14ac:dyDescent="0.25">
      <c r="A79" s="845"/>
      <c r="B79" s="845"/>
      <c r="C79" s="845"/>
      <c r="D79" s="845"/>
      <c r="E79" s="845"/>
      <c r="F79" s="845"/>
    </row>
    <row r="80" spans="1:6" ht="15.75" customHeight="1" x14ac:dyDescent="0.25">
      <c r="A80" s="845"/>
      <c r="B80" s="845"/>
      <c r="C80" s="845"/>
      <c r="D80" s="845"/>
      <c r="E80" s="845"/>
      <c r="F80" s="845"/>
    </row>
    <row r="81" spans="1:6" ht="15.75" customHeight="1" x14ac:dyDescent="0.25">
      <c r="A81" s="845"/>
      <c r="B81" s="845"/>
      <c r="C81" s="845"/>
      <c r="D81" s="845"/>
      <c r="E81" s="845"/>
      <c r="F81" s="845"/>
    </row>
    <row r="82" spans="1:6" ht="15.75" customHeight="1" x14ac:dyDescent="0.25">
      <c r="A82" s="845"/>
      <c r="B82" s="845"/>
      <c r="C82" s="845"/>
      <c r="D82" s="845"/>
      <c r="E82" s="845"/>
      <c r="F82" s="845"/>
    </row>
    <row r="83" spans="1:6" ht="15.75" customHeight="1" x14ac:dyDescent="0.25">
      <c r="A83" s="845"/>
      <c r="B83" s="845"/>
      <c r="C83" s="845"/>
      <c r="D83" s="845"/>
      <c r="E83" s="845"/>
      <c r="F83" s="845"/>
    </row>
    <row r="84" spans="1:6" ht="15.75" customHeight="1" x14ac:dyDescent="0.25">
      <c r="A84" s="845"/>
      <c r="B84" s="845"/>
      <c r="C84" s="845"/>
      <c r="D84" s="845"/>
      <c r="E84" s="845"/>
      <c r="F84" s="845"/>
    </row>
    <row r="85" spans="1:6" ht="15.75" customHeight="1" x14ac:dyDescent="0.25">
      <c r="A85" s="845"/>
      <c r="B85" s="845"/>
      <c r="C85" s="845"/>
      <c r="D85" s="845"/>
      <c r="E85" s="845"/>
      <c r="F85" s="845"/>
    </row>
    <row r="86" spans="1:6" ht="15.75" customHeight="1" x14ac:dyDescent="0.25">
      <c r="A86" s="845"/>
      <c r="B86" s="845"/>
      <c r="C86" s="845"/>
      <c r="D86" s="845"/>
      <c r="E86" s="845"/>
      <c r="F86" s="845"/>
    </row>
    <row r="87" spans="1:6" ht="15.75" customHeight="1" x14ac:dyDescent="0.25">
      <c r="A87" s="845"/>
      <c r="B87" s="845"/>
      <c r="C87" s="845"/>
      <c r="D87" s="845"/>
      <c r="E87" s="845"/>
      <c r="F87" s="845"/>
    </row>
    <row r="88" spans="1:6" ht="15.75" customHeight="1" x14ac:dyDescent="0.25">
      <c r="A88" s="845"/>
      <c r="B88" s="845"/>
      <c r="C88" s="845"/>
      <c r="D88" s="845"/>
      <c r="E88" s="845"/>
      <c r="F88" s="845"/>
    </row>
    <row r="89" spans="1:6" ht="15.75" customHeight="1" x14ac:dyDescent="0.25">
      <c r="A89" s="845"/>
      <c r="B89" s="845"/>
      <c r="C89" s="845"/>
      <c r="D89" s="845"/>
      <c r="E89" s="845"/>
      <c r="F89" s="845"/>
    </row>
    <row r="90" spans="1:6" ht="15.75" customHeight="1" x14ac:dyDescent="0.25">
      <c r="A90" s="845"/>
      <c r="B90" s="845"/>
      <c r="C90" s="845"/>
      <c r="D90" s="845"/>
      <c r="E90" s="845"/>
      <c r="F90" s="845"/>
    </row>
    <row r="91" spans="1:6" ht="15.75" customHeight="1" x14ac:dyDescent="0.25">
      <c r="A91" s="845"/>
      <c r="B91" s="845"/>
      <c r="C91" s="845"/>
      <c r="D91" s="845"/>
      <c r="E91" s="845"/>
      <c r="F91" s="845"/>
    </row>
    <row r="92" spans="1:6" ht="15.75" customHeight="1" x14ac:dyDescent="0.25">
      <c r="A92" s="845"/>
      <c r="B92" s="845"/>
      <c r="C92" s="845"/>
      <c r="D92" s="845"/>
      <c r="E92" s="845"/>
      <c r="F92" s="845"/>
    </row>
    <row r="93" spans="1:6" ht="15.75" customHeight="1" x14ac:dyDescent="0.25">
      <c r="A93" s="845"/>
      <c r="B93" s="845"/>
      <c r="C93" s="845"/>
      <c r="D93" s="845"/>
      <c r="E93" s="845"/>
      <c r="F93" s="845"/>
    </row>
    <row r="94" spans="1:6" ht="15.75" customHeight="1" x14ac:dyDescent="0.25">
      <c r="A94" s="845"/>
      <c r="B94" s="845"/>
      <c r="C94" s="845"/>
      <c r="D94" s="845"/>
      <c r="E94" s="845"/>
      <c r="F94" s="845"/>
    </row>
    <row r="95" spans="1:6" ht="15.75" customHeight="1" x14ac:dyDescent="0.25">
      <c r="A95" s="845"/>
      <c r="B95" s="845"/>
      <c r="C95" s="845"/>
      <c r="D95" s="845"/>
      <c r="E95" s="845"/>
      <c r="F95" s="845"/>
    </row>
    <row r="96" spans="1:6" ht="15.75" customHeight="1" x14ac:dyDescent="0.25">
      <c r="A96" s="845"/>
      <c r="B96" s="845"/>
      <c r="C96" s="845"/>
      <c r="D96" s="845"/>
      <c r="E96" s="845"/>
      <c r="F96" s="845"/>
    </row>
    <row r="97" spans="1:6" ht="15.75" customHeight="1" x14ac:dyDescent="0.25">
      <c r="A97" s="845"/>
      <c r="B97" s="845"/>
      <c r="C97" s="845"/>
      <c r="D97" s="845"/>
      <c r="E97" s="845"/>
      <c r="F97" s="845"/>
    </row>
  </sheetData>
  <sheetProtection algorithmName="SHA-512" hashValue="6vMEKEz205r6kOrvSyhVNV4ECx9kZUaNyvV5b2sI+Bp4+xUkgCvb1Xd0KfUODxafrGJsIvqv1DLyDxddDOcRRQ==" saltValue="I12NRpKgvz0mVVvC0WMFIQ==" spinCount="100000" sheet="1" objects="1" scenarios="1" formatCells="0" formatColumns="0" formatRows="0"/>
  <mergeCells count="17">
    <mergeCell ref="B5:I5"/>
    <mergeCell ref="A2:I3"/>
    <mergeCell ref="B34:G34"/>
    <mergeCell ref="B6:I6"/>
    <mergeCell ref="B28:G28"/>
    <mergeCell ref="B29:G29"/>
    <mergeCell ref="B30:G30"/>
    <mergeCell ref="B31:G31"/>
    <mergeCell ref="B32:G32"/>
    <mergeCell ref="B33:G33"/>
    <mergeCell ref="A19:B19"/>
    <mergeCell ref="A20:B20"/>
    <mergeCell ref="B24:G24"/>
    <mergeCell ref="B25:G25"/>
    <mergeCell ref="B26:G26"/>
    <mergeCell ref="B27:G27"/>
    <mergeCell ref="B7:I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B268"/>
  <sheetViews>
    <sheetView workbookViewId="0">
      <selection activeCell="F2" sqref="F2"/>
    </sheetView>
  </sheetViews>
  <sheetFormatPr defaultColWidth="14.42578125" defaultRowHeight="15" customHeight="1" x14ac:dyDescent="0.25"/>
  <cols>
    <col min="1" max="1" width="16.42578125" style="738" customWidth="1"/>
    <col min="2" max="2" width="20.42578125" style="738" customWidth="1"/>
    <col min="3" max="3" width="17.85546875" style="738" customWidth="1"/>
    <col min="4" max="4" width="21.5703125" style="738" customWidth="1"/>
    <col min="5" max="5" width="21.85546875" style="738" customWidth="1"/>
    <col min="6" max="6" width="20.7109375" style="738" customWidth="1"/>
    <col min="7" max="7" width="21.28515625" style="738" customWidth="1"/>
    <col min="8" max="8" width="20.42578125" style="738" customWidth="1"/>
    <col min="9" max="9" width="19.28515625" style="738" customWidth="1"/>
    <col min="10" max="10" width="17" style="738" customWidth="1"/>
    <col min="11" max="11" width="13" style="738" customWidth="1"/>
    <col min="12" max="12" width="8.7109375" style="738" customWidth="1"/>
    <col min="13" max="13" width="11.5703125" style="738" customWidth="1"/>
    <col min="14" max="14" width="14" style="738" customWidth="1"/>
    <col min="15" max="16" width="13.28515625" style="738" customWidth="1"/>
    <col min="17" max="17" width="11.5703125" style="738" customWidth="1"/>
    <col min="18" max="18" width="9.5703125" style="738" customWidth="1"/>
    <col min="19" max="19" width="11.28515625" style="738" customWidth="1"/>
    <col min="20" max="20" width="11" style="738" customWidth="1"/>
    <col min="21" max="21" width="10.28515625" style="738" customWidth="1"/>
    <col min="22" max="22" width="16.85546875" style="738" customWidth="1"/>
    <col min="23" max="28" width="8.7109375" style="738" customWidth="1"/>
    <col min="29" max="16384" width="14.42578125" style="738"/>
  </cols>
  <sheetData>
    <row r="1" spans="1:27" ht="37.5" customHeight="1" thickBot="1" x14ac:dyDescent="0.3">
      <c r="A1" s="936" t="str">
        <f>CONCATENATE("AM55 Marathon Training Plan -  ", "Finish Time: ", TEXT(F2, "hh:mm:ss"))</f>
        <v>AM55 Marathon Training Plan -  Finish Time: 04:30:00</v>
      </c>
      <c r="B1" s="937"/>
      <c r="C1" s="937"/>
      <c r="D1" s="937"/>
      <c r="E1" s="937"/>
      <c r="F1" s="937"/>
      <c r="G1" s="937"/>
      <c r="H1" s="937"/>
      <c r="I1" s="938"/>
      <c r="J1" s="740"/>
      <c r="K1" s="740"/>
      <c r="L1" s="740"/>
      <c r="M1" s="739"/>
      <c r="N1" s="739"/>
      <c r="O1" s="739"/>
      <c r="P1" s="739"/>
      <c r="Q1" s="739"/>
      <c r="R1" s="739"/>
      <c r="S1" s="739"/>
      <c r="T1" s="739"/>
      <c r="U1" s="739"/>
      <c r="V1" s="739"/>
      <c r="W1" s="739"/>
      <c r="X1" s="739"/>
      <c r="Y1" s="739"/>
      <c r="Z1" s="739"/>
      <c r="AA1" s="739"/>
    </row>
    <row r="2" spans="1:27" ht="49.9" customHeight="1" thickBot="1" x14ac:dyDescent="0.3">
      <c r="A2" s="844"/>
      <c r="B2" s="939" t="s">
        <v>530</v>
      </c>
      <c r="C2" s="940"/>
      <c r="D2" s="899">
        <v>44472</v>
      </c>
      <c r="E2" s="843" t="s">
        <v>529</v>
      </c>
      <c r="F2" s="881">
        <f>PaceCalMaxHR!B5</f>
        <v>0.1875</v>
      </c>
      <c r="G2" s="842"/>
      <c r="H2" s="841"/>
      <c r="I2" s="840"/>
      <c r="J2" s="740"/>
      <c r="K2" s="740"/>
      <c r="L2" s="740"/>
      <c r="M2" s="739"/>
      <c r="N2" s="739"/>
      <c r="O2" s="739"/>
      <c r="P2" s="739"/>
      <c r="Q2" s="739"/>
      <c r="R2" s="739"/>
      <c r="S2" s="739"/>
      <c r="T2" s="739"/>
      <c r="U2" s="739"/>
      <c r="V2" s="739"/>
      <c r="W2" s="739"/>
      <c r="X2" s="739"/>
      <c r="Y2" s="739"/>
      <c r="Z2" s="739"/>
      <c r="AA2" s="739"/>
    </row>
    <row r="3" spans="1:27" ht="15.75" thickBot="1" x14ac:dyDescent="0.3">
      <c r="A3" s="838"/>
      <c r="B3" s="839" t="s">
        <v>528</v>
      </c>
      <c r="C3" s="838" t="s">
        <v>349</v>
      </c>
      <c r="D3" s="839" t="s">
        <v>527</v>
      </c>
      <c r="E3" s="838" t="s">
        <v>351</v>
      </c>
      <c r="F3" s="839" t="s">
        <v>526</v>
      </c>
      <c r="G3" s="838" t="s">
        <v>525</v>
      </c>
      <c r="H3" s="839" t="s">
        <v>524</v>
      </c>
      <c r="I3" s="838" t="s">
        <v>523</v>
      </c>
      <c r="J3" s="740"/>
      <c r="K3" s="740"/>
      <c r="L3" s="740"/>
      <c r="M3" s="739"/>
      <c r="N3" s="739"/>
      <c r="O3" s="739"/>
      <c r="P3" s="739"/>
      <c r="Q3" s="739"/>
      <c r="R3" s="739"/>
      <c r="S3" s="739"/>
      <c r="T3" s="739"/>
      <c r="U3" s="739"/>
      <c r="V3" s="739"/>
      <c r="W3" s="739"/>
      <c r="X3" s="739"/>
      <c r="Y3" s="739"/>
      <c r="Z3" s="739"/>
      <c r="AA3" s="739"/>
    </row>
    <row r="4" spans="1:27" ht="15.75" thickBot="1" x14ac:dyDescent="0.3">
      <c r="A4" s="824"/>
      <c r="B4" s="831">
        <v>17</v>
      </c>
      <c r="C4" s="824">
        <f>D2+1-7*(B4+1)</f>
        <v>44347</v>
      </c>
      <c r="D4" s="824">
        <f t="shared" ref="D4:I4" si="0">C4+1</f>
        <v>44348</v>
      </c>
      <c r="E4" s="824">
        <f t="shared" si="0"/>
        <v>44349</v>
      </c>
      <c r="F4" s="824">
        <f t="shared" si="0"/>
        <v>44350</v>
      </c>
      <c r="G4" s="824">
        <f t="shared" si="0"/>
        <v>44351</v>
      </c>
      <c r="H4" s="824">
        <f t="shared" si="0"/>
        <v>44352</v>
      </c>
      <c r="I4" s="824">
        <f t="shared" si="0"/>
        <v>44353</v>
      </c>
      <c r="J4" s="739"/>
      <c r="K4" s="739"/>
      <c r="L4" s="739"/>
      <c r="M4" s="739"/>
      <c r="N4" s="739"/>
      <c r="O4" s="739"/>
      <c r="P4" s="739"/>
      <c r="Q4" s="739"/>
      <c r="R4" s="739"/>
      <c r="S4" s="739"/>
      <c r="T4" s="739"/>
      <c r="U4" s="739"/>
      <c r="V4" s="739"/>
      <c r="W4" s="739"/>
      <c r="X4" s="739"/>
      <c r="Y4" s="739"/>
      <c r="Z4" s="739"/>
      <c r="AA4" s="739"/>
    </row>
    <row r="5" spans="1:27" ht="58.5" customHeight="1" thickBot="1" x14ac:dyDescent="0.3">
      <c r="A5" s="941" t="s">
        <v>522</v>
      </c>
      <c r="B5" s="837" t="s">
        <v>521</v>
      </c>
      <c r="C5" s="822" t="s">
        <v>501</v>
      </c>
      <c r="D5" s="821" t="str">
        <f>CONCATENATE("LT 13K w/6K @ 15k to HMP Pace ",CHAR(10), TEXT(G47, "m:ss"), " to ", TEXT(H47,"m:ss"), CHAR(10),"HR &lt; ",TEXT(C47, "000"))</f>
        <v>LT 13K w/6K @ 15k to HMP Pace 
6:08 to 6:01
HR &lt; 173</v>
      </c>
      <c r="E5" s="822" t="s">
        <v>513</v>
      </c>
      <c r="F5" s="821" t="str">
        <f>CONCATENATE("GA 14K ",CHAR(10), "Pace ", TEXT(G44, "m:ss")," to ",TEXT(H44,"m:ss"), CHAR(10),"HR &lt; ",TEXT(C44, "000"))</f>
        <v>GA 14K 
Pace 7:59 to 7:21
HR &lt; 154</v>
      </c>
      <c r="G5" s="822" t="s">
        <v>513</v>
      </c>
      <c r="H5" s="821" t="str">
        <f>CONCATENATE("RR 6K", CHAR(10), "Pace up to ",TEXT(H43, "m:ss"), CHAR(10),"HR &lt; ",TEXT(C43, "000"))</f>
        <v>RR 6K
Pace up to 8:18
HR &lt; 144</v>
      </c>
      <c r="I5" s="821" t="str">
        <f>CONCATENATE("MLR 19K ",CHAR(10),"Pace ",TEXT(G45, "m:ss")," to ",TEXT(H45,"m:ss"), CHAR(10),"HR &lt; ",TEXT(C45, "000"))</f>
        <v>MLR 19K 
Pace 7:40 to 7:02
HR &lt; 160</v>
      </c>
      <c r="J5" s="739"/>
      <c r="K5" s="739"/>
      <c r="L5" s="739"/>
      <c r="M5" s="739"/>
      <c r="N5" s="739"/>
      <c r="O5" s="739"/>
      <c r="P5" s="739"/>
      <c r="Q5" s="739"/>
      <c r="R5" s="739"/>
      <c r="S5" s="739"/>
      <c r="T5" s="739"/>
      <c r="U5" s="739"/>
      <c r="V5" s="739"/>
      <c r="W5" s="739"/>
      <c r="X5" s="739"/>
      <c r="Y5" s="739"/>
      <c r="Z5" s="739"/>
      <c r="AA5" s="739"/>
    </row>
    <row r="6" spans="1:27" ht="15.75" thickBot="1" x14ac:dyDescent="0.3">
      <c r="A6" s="942"/>
      <c r="B6" s="825">
        <v>16</v>
      </c>
      <c r="C6" s="824">
        <f t="shared" ref="C6:I6" si="1">C4+7</f>
        <v>44354</v>
      </c>
      <c r="D6" s="824">
        <f t="shared" si="1"/>
        <v>44355</v>
      </c>
      <c r="E6" s="824">
        <f t="shared" si="1"/>
        <v>44356</v>
      </c>
      <c r="F6" s="824">
        <f t="shared" si="1"/>
        <v>44357</v>
      </c>
      <c r="G6" s="824">
        <f t="shared" si="1"/>
        <v>44358</v>
      </c>
      <c r="H6" s="824">
        <f t="shared" si="1"/>
        <v>44359</v>
      </c>
      <c r="I6" s="824">
        <f t="shared" si="1"/>
        <v>44360</v>
      </c>
      <c r="J6" s="739"/>
      <c r="K6" s="739"/>
      <c r="L6" s="739"/>
      <c r="M6" s="739"/>
      <c r="N6" s="739"/>
      <c r="O6" s="739"/>
      <c r="P6" s="739"/>
      <c r="Q6" s="739"/>
      <c r="R6" s="739"/>
      <c r="S6" s="739"/>
      <c r="T6" s="739"/>
      <c r="U6" s="739"/>
      <c r="V6" s="739"/>
      <c r="W6" s="739"/>
      <c r="X6" s="739"/>
      <c r="Y6" s="739"/>
      <c r="Z6" s="739"/>
      <c r="AA6" s="739"/>
    </row>
    <row r="7" spans="1:27" ht="61.5" customHeight="1" thickBot="1" x14ac:dyDescent="0.3">
      <c r="A7" s="942"/>
      <c r="B7" s="836" t="s">
        <v>520</v>
      </c>
      <c r="C7" s="822" t="s">
        <v>501</v>
      </c>
      <c r="D7" s="821" t="str">
        <f>CONCATENATE("GA13kw/ 10 x 100m strides ",CHAR(10), "Pace ", TEXT(G44, "m:ss")," to ",TEXT(H44,"m:ss"), CHAR(10),"HR &lt; ",TEXT(C44, "000"))</f>
        <v>GA13kw/ 10 x 100m strides 
Pace 7:59 to 7:21
HR &lt; 154</v>
      </c>
      <c r="E7" s="822" t="s">
        <v>513</v>
      </c>
      <c r="F7" s="821" t="str">
        <f>CONCATENATE("GA 16K ",CHAR(10), "Pace ", TEXT(G44, "m:ss")," to ",TEXT(H44,"m:ss"), CHAR(10),"HR &lt; ",TEXT(C44, "000"))</f>
        <v>GA 16K 
Pace 7:59 to 7:21
HR &lt; 154</v>
      </c>
      <c r="G7" s="822" t="s">
        <v>513</v>
      </c>
      <c r="H7" s="821" t="str">
        <f>CONCATENATE("RR 8K", CHAR(10), "Pace up to ",TEXT(H43, "m:ss"), CHAR(10),"HR &lt; ",TEXT(C43, "000"))</f>
        <v>RR 8K
Pace up to 8:18
HR &lt; 144</v>
      </c>
      <c r="I7" s="821" t="str">
        <f>CONCATENATE("21K w/ 13K MP ",CHAR(10),"MP Pace ",TEXT(G49, "m:ss"), CHAR(10),"HR &lt; ",TEXT(C49, "000"))</f>
        <v>21K w/ 13K MP 
MP Pace 6:23
HR &lt; 167</v>
      </c>
      <c r="J7" s="739"/>
      <c r="K7" s="740"/>
      <c r="L7" s="740"/>
      <c r="M7" s="739"/>
      <c r="N7" s="739"/>
      <c r="O7" s="739"/>
      <c r="P7" s="739"/>
      <c r="Q7" s="739"/>
      <c r="R7" s="739"/>
      <c r="S7" s="739"/>
      <c r="T7" s="739"/>
      <c r="U7" s="739"/>
      <c r="V7" s="739"/>
      <c r="W7" s="739"/>
      <c r="X7" s="739"/>
      <c r="Y7" s="739"/>
      <c r="Z7" s="739"/>
      <c r="AA7" s="739"/>
    </row>
    <row r="8" spans="1:27" ht="15.75" thickBot="1" x14ac:dyDescent="0.3">
      <c r="A8" s="942"/>
      <c r="B8" s="825">
        <v>15</v>
      </c>
      <c r="C8" s="824">
        <f t="shared" ref="C8:I8" si="2">C6+7</f>
        <v>44361</v>
      </c>
      <c r="D8" s="824">
        <f t="shared" si="2"/>
        <v>44362</v>
      </c>
      <c r="E8" s="824">
        <f t="shared" si="2"/>
        <v>44363</v>
      </c>
      <c r="F8" s="824">
        <f t="shared" si="2"/>
        <v>44364</v>
      </c>
      <c r="G8" s="824">
        <f t="shared" si="2"/>
        <v>44365</v>
      </c>
      <c r="H8" s="824">
        <f t="shared" si="2"/>
        <v>44366</v>
      </c>
      <c r="I8" s="824">
        <f t="shared" si="2"/>
        <v>44367</v>
      </c>
      <c r="J8" s="739"/>
      <c r="K8" s="739"/>
      <c r="L8" s="739"/>
      <c r="M8" s="739"/>
      <c r="N8" s="739"/>
      <c r="O8" s="739"/>
      <c r="P8" s="739"/>
      <c r="Q8" s="739"/>
      <c r="R8" s="739"/>
      <c r="S8" s="739"/>
      <c r="T8" s="739"/>
      <c r="U8" s="739"/>
      <c r="V8" s="739"/>
      <c r="W8" s="739"/>
      <c r="X8" s="739"/>
      <c r="Y8" s="739"/>
      <c r="Z8" s="739"/>
      <c r="AA8" s="739"/>
    </row>
    <row r="9" spans="1:27" ht="58.5" customHeight="1" thickBot="1" x14ac:dyDescent="0.3">
      <c r="A9" s="942"/>
      <c r="B9" s="836" t="s">
        <v>519</v>
      </c>
      <c r="C9" s="822" t="s">
        <v>501</v>
      </c>
      <c r="D9" s="821" t="str">
        <f>CONCATENATE("GA 16K ",CHAR(10), "Pace ", TEXT(G44, "m:ss")," to ",TEXT(H44,"m:ss"), CHAR(10),"HR &lt; ",TEXT(C44, "000"))</f>
        <v>GA 16K 
Pace 7:59 to 7:21
HR &lt; 154</v>
      </c>
      <c r="E9" s="821" t="str">
        <f>CONCATENATE("RR 6K", CHAR(10), "Pace up to ",TEXT(E43, "m:ss"), CHAR(10),"HR &lt; ",TEXT(C43, "000"))</f>
        <v>RR 6K
Pace up to 0:00
HR &lt; 144</v>
      </c>
      <c r="F9" s="821" t="str">
        <f>D5</f>
        <v>LT 13K w/6K @ 15k to HMP Pace 
6:08 to 6:01
HR &lt; 173</v>
      </c>
      <c r="G9" s="822" t="s">
        <v>513</v>
      </c>
      <c r="H9" s="821" t="str">
        <f>CONCATENATE("RR 6K", CHAR(10), "Pace up to ",TEXT(H43, "m:ss"), CHAR(10),"HR &lt; ",TEXT(C43, "000"))</f>
        <v>RR 6K
Pace up to 8:18
HR &lt; 144</v>
      </c>
      <c r="I9" s="821" t="str">
        <f>CONCATENATE("MLR 23K ",CHAR(10),"Pace ",TEXT(G45, "m:ss")," to ",TEXT(H45,"m:ss"), CHAR(10),"HR &lt; ",TEXT(C45, "000"))</f>
        <v>MLR 23K 
Pace 7:40 to 7:02
HR &lt; 160</v>
      </c>
      <c r="J9" s="739"/>
      <c r="K9" s="740"/>
      <c r="L9" s="740"/>
      <c r="M9" s="739"/>
      <c r="N9" s="739"/>
      <c r="O9" s="739"/>
      <c r="P9" s="739"/>
      <c r="Q9" s="739"/>
      <c r="R9" s="739"/>
      <c r="S9" s="739"/>
      <c r="T9" s="739"/>
      <c r="U9" s="739"/>
      <c r="V9" s="739"/>
      <c r="W9" s="739"/>
      <c r="X9" s="739"/>
      <c r="Y9" s="739"/>
      <c r="Z9" s="739"/>
      <c r="AA9" s="739"/>
    </row>
    <row r="10" spans="1:27" ht="15.75" thickBot="1" x14ac:dyDescent="0.3">
      <c r="A10" s="942"/>
      <c r="B10" s="825">
        <v>14</v>
      </c>
      <c r="C10" s="824">
        <f t="shared" ref="C10:I10" si="3">C8+7</f>
        <v>44368</v>
      </c>
      <c r="D10" s="824">
        <f t="shared" si="3"/>
        <v>44369</v>
      </c>
      <c r="E10" s="824">
        <f t="shared" si="3"/>
        <v>44370</v>
      </c>
      <c r="F10" s="824">
        <f t="shared" si="3"/>
        <v>44371</v>
      </c>
      <c r="G10" s="824">
        <f t="shared" si="3"/>
        <v>44372</v>
      </c>
      <c r="H10" s="824">
        <f t="shared" si="3"/>
        <v>44373</v>
      </c>
      <c r="I10" s="824">
        <f t="shared" si="3"/>
        <v>44374</v>
      </c>
      <c r="J10" s="739"/>
      <c r="K10" s="739"/>
      <c r="L10" s="739"/>
      <c r="M10" s="739"/>
      <c r="N10" s="739"/>
      <c r="O10" s="739"/>
      <c r="P10" s="739"/>
      <c r="Q10" s="739"/>
      <c r="R10" s="739"/>
      <c r="S10" s="739"/>
      <c r="T10" s="739"/>
      <c r="U10" s="739"/>
      <c r="V10" s="739"/>
      <c r="W10" s="739"/>
      <c r="X10" s="739"/>
      <c r="Y10" s="739"/>
      <c r="Z10" s="739"/>
      <c r="AA10" s="739"/>
    </row>
    <row r="11" spans="1:27" ht="61.5" customHeight="1" thickBot="1" x14ac:dyDescent="0.3">
      <c r="A11" s="942"/>
      <c r="B11" s="836" t="s">
        <v>518</v>
      </c>
      <c r="C11" s="822" t="s">
        <v>501</v>
      </c>
      <c r="D11" s="821" t="str">
        <f>D7</f>
        <v>GA13kw/ 10 x 100m strides 
Pace 7:59 to 7:21
HR &lt; 154</v>
      </c>
      <c r="E11" s="821" t="str">
        <f>CONCATENATE("RR 8K", CHAR(10), "Pace up to ",TEXT(H43, "m:ss"), CHAR(10),"HR &lt; ",TEXT(C43, "000"))</f>
        <v>RR 8K
Pace up to 8:18
HR &lt; 144</v>
      </c>
      <c r="F11" s="821" t="str">
        <f>F7</f>
        <v>GA 16K 
Pace 7:59 to 7:21
HR &lt; 154</v>
      </c>
      <c r="G11" s="822" t="s">
        <v>513</v>
      </c>
      <c r="H11" s="821" t="str">
        <f>CONCATENATE("RR 6K", CHAR(10), "Pace up to ",TEXT(H43, "m:ss"), CHAR(10),"HR &lt; ",TEXT(C43, "000"))</f>
        <v>RR 6K
Pace up to 8:18
HR &lt; 144</v>
      </c>
      <c r="I11" s="821" t="str">
        <f>CONCATENATE("MLR 24K ",CHAR(10),"Pace ",TEXT(G45, "m:ss")," to ",TEXT(H45,"m:ss"), CHAR(10),"HR &lt; ",TEXT(C45, "000"))</f>
        <v>MLR 24K 
Pace 7:40 to 7:02
HR &lt; 160</v>
      </c>
      <c r="J11" s="739"/>
      <c r="K11" s="740"/>
      <c r="L11" s="740"/>
      <c r="M11" s="739"/>
      <c r="N11" s="739"/>
      <c r="O11" s="739"/>
      <c r="P11" s="739"/>
      <c r="Q11" s="739"/>
      <c r="R11" s="739"/>
      <c r="S11" s="739"/>
      <c r="T11" s="739"/>
      <c r="U11" s="739"/>
      <c r="V11" s="739"/>
      <c r="W11" s="739"/>
      <c r="X11" s="739"/>
      <c r="Y11" s="739"/>
      <c r="Z11" s="739"/>
      <c r="AA11" s="739"/>
    </row>
    <row r="12" spans="1:27" ht="15.75" thickBot="1" x14ac:dyDescent="0.3">
      <c r="A12" s="942"/>
      <c r="B12" s="825">
        <v>13</v>
      </c>
      <c r="C12" s="824">
        <f t="shared" ref="C12:I12" si="4">C10+7</f>
        <v>44375</v>
      </c>
      <c r="D12" s="824">
        <f t="shared" si="4"/>
        <v>44376</v>
      </c>
      <c r="E12" s="824">
        <f t="shared" si="4"/>
        <v>44377</v>
      </c>
      <c r="F12" s="824">
        <f t="shared" si="4"/>
        <v>44378</v>
      </c>
      <c r="G12" s="824">
        <f t="shared" si="4"/>
        <v>44379</v>
      </c>
      <c r="H12" s="824">
        <f t="shared" si="4"/>
        <v>44380</v>
      </c>
      <c r="I12" s="824">
        <f t="shared" si="4"/>
        <v>44381</v>
      </c>
      <c r="J12" s="739"/>
      <c r="K12" s="739"/>
      <c r="L12" s="739"/>
      <c r="M12" s="739"/>
      <c r="N12" s="739"/>
      <c r="O12" s="739"/>
      <c r="P12" s="739"/>
      <c r="Q12" s="739"/>
      <c r="R12" s="739"/>
      <c r="S12" s="739"/>
      <c r="T12" s="739"/>
      <c r="U12" s="739"/>
      <c r="V12" s="739"/>
      <c r="W12" s="739"/>
      <c r="X12" s="739"/>
      <c r="Y12" s="739"/>
      <c r="Z12" s="739"/>
      <c r="AA12" s="739"/>
    </row>
    <row r="13" spans="1:27" ht="60.75" customHeight="1" thickBot="1" x14ac:dyDescent="0.3">
      <c r="A13" s="942"/>
      <c r="B13" s="836" t="s">
        <v>517</v>
      </c>
      <c r="C13" s="822" t="s">
        <v>501</v>
      </c>
      <c r="D13" s="821" t="str">
        <f>CONCATENATE("LT 14K w/8K @ 15k to HMP Pace ",CHAR(10), TEXT(G47, "m:ss"), " to ", TEXT(H47,"m:ss"), CHAR(10),"HR &lt; ",TEXT(C47, "000"))</f>
        <v>LT 14K w/8K @ 15k to HMP Pace 
6:08 to 6:01
HR &lt; 173</v>
      </c>
      <c r="E13" s="821" t="str">
        <f>CONCATENATE("RR 8K", CHAR(10), "Pace up to ",TEXT(H43, "m:ss"), CHAR(10),"HR &lt; ",TEXT(C43, "000"))</f>
        <v>RR 8K
Pace up to 8:18
HR &lt; 144</v>
      </c>
      <c r="F13" s="821" t="str">
        <f>F11</f>
        <v>GA 16K 
Pace 7:59 to 7:21
HR &lt; 154</v>
      </c>
      <c r="G13" s="822" t="s">
        <v>513</v>
      </c>
      <c r="H13" s="821" t="str">
        <f>CONCATENATE("RR 8K", CHAR(10), "Pace up to ",TEXT(H43, "m:ss"), CHAR(10),"HR &lt; ",TEXT(C43, "000"))</f>
        <v>RR 8K
Pace up to 8:18
HR &lt; 144</v>
      </c>
      <c r="I13" s="821" t="str">
        <f>CONCATENATE("26K w/ 16K MP ",CHAR(10),"MP Pace ",TEXT(G49, "m:ss"), CHAR(10),"HR &lt; ",TEXT(C49, "000"))</f>
        <v>26K w/ 16K MP 
MP Pace 6:23
HR &lt; 167</v>
      </c>
      <c r="J13" s="739"/>
      <c r="K13" s="740"/>
      <c r="L13" s="740"/>
      <c r="M13" s="739"/>
      <c r="N13" s="739"/>
      <c r="O13" s="739"/>
      <c r="P13" s="739"/>
      <c r="Q13" s="739"/>
      <c r="R13" s="739"/>
      <c r="S13" s="739"/>
      <c r="T13" s="739"/>
      <c r="U13" s="739"/>
      <c r="V13" s="739"/>
      <c r="W13" s="739"/>
      <c r="X13" s="739"/>
      <c r="Y13" s="739"/>
      <c r="Z13" s="739"/>
      <c r="AA13" s="739"/>
    </row>
    <row r="14" spans="1:27" ht="15.75" thickBot="1" x14ac:dyDescent="0.3">
      <c r="A14" s="943"/>
      <c r="B14" s="825">
        <v>12</v>
      </c>
      <c r="C14" s="824">
        <f t="shared" ref="C14:I14" si="5">C12+7</f>
        <v>44382</v>
      </c>
      <c r="D14" s="824">
        <f t="shared" si="5"/>
        <v>44383</v>
      </c>
      <c r="E14" s="824">
        <f t="shared" si="5"/>
        <v>44384</v>
      </c>
      <c r="F14" s="824">
        <f t="shared" si="5"/>
        <v>44385</v>
      </c>
      <c r="G14" s="824">
        <f t="shared" si="5"/>
        <v>44386</v>
      </c>
      <c r="H14" s="824">
        <f t="shared" si="5"/>
        <v>44387</v>
      </c>
      <c r="I14" s="824">
        <f t="shared" si="5"/>
        <v>44388</v>
      </c>
      <c r="J14" s="739"/>
      <c r="K14" s="739"/>
      <c r="L14" s="739"/>
      <c r="M14" s="739"/>
      <c r="N14" s="739"/>
      <c r="O14" s="739"/>
      <c r="P14" s="739"/>
      <c r="Q14" s="739"/>
      <c r="R14" s="739"/>
      <c r="S14" s="739"/>
      <c r="T14" s="739"/>
      <c r="U14" s="739"/>
      <c r="V14" s="739"/>
      <c r="W14" s="739"/>
      <c r="X14" s="739"/>
      <c r="Y14" s="739"/>
      <c r="Z14" s="739"/>
      <c r="AA14" s="739"/>
    </row>
    <row r="15" spans="1:27" ht="63" customHeight="1" thickBot="1" x14ac:dyDescent="0.3">
      <c r="A15" s="944"/>
      <c r="B15" s="835" t="s">
        <v>516</v>
      </c>
      <c r="C15" s="822" t="s">
        <v>501</v>
      </c>
      <c r="D15" s="821" t="str">
        <f>D11</f>
        <v>GA13kw/ 10 x 100m strides 
Pace 7:59 to 7:21
HR &lt; 154</v>
      </c>
      <c r="E15" s="821" t="str">
        <f>CONCATENATE("RR 8K", CHAR(10), "Pace up to ",TEXT(H43, "m:ss"), CHAR(10),"HR &lt; ",TEXT(C43, "000"))</f>
        <v>RR 8K
Pace up to 8:18
HR &lt; 144</v>
      </c>
      <c r="F15" s="821" t="str">
        <f>CONCATENATE("GA 13K ",CHAR(10), "Pace ", TEXT(G44, "m:ss")," to ",TEXT(H44,"m:ss"), CHAR(10),"HR &lt; ",TEXT(C44, "000"))</f>
        <v>GA 13K 
Pace 7:59 to 7:21
HR &lt; 154</v>
      </c>
      <c r="G15" s="822" t="str">
        <f>C15</f>
        <v>Rest or Cross Training
- Swimming</v>
      </c>
      <c r="H15" s="821" t="str">
        <f>CONCATENATE("RR 6K", CHAR(10), "Pace up to ",TEXT(H43, "m:ss"), CHAR(10),"HR &lt; ",TEXT(C43, "000"))</f>
        <v>RR 6K
Pace up to 8:18
HR &lt; 144</v>
      </c>
      <c r="I15" s="821" t="str">
        <f>I5</f>
        <v>MLR 19K 
Pace 7:40 to 7:02
HR &lt; 160</v>
      </c>
      <c r="J15" s="739"/>
      <c r="K15" s="740"/>
      <c r="L15" s="740"/>
      <c r="M15" s="739"/>
      <c r="N15" s="739"/>
      <c r="O15" s="739"/>
      <c r="P15" s="739"/>
      <c r="Q15" s="739"/>
      <c r="R15" s="739"/>
      <c r="S15" s="739"/>
      <c r="T15" s="739"/>
      <c r="U15" s="739"/>
      <c r="V15" s="739"/>
      <c r="W15" s="739"/>
      <c r="X15" s="739"/>
      <c r="Y15" s="739"/>
      <c r="Z15" s="739"/>
      <c r="AA15" s="739"/>
    </row>
    <row r="16" spans="1:27" ht="15.75" thickBot="1" x14ac:dyDescent="0.3">
      <c r="A16" s="828"/>
      <c r="B16" s="831">
        <v>11</v>
      </c>
      <c r="C16" s="824">
        <f t="shared" ref="C16:I16" si="6">C14+7</f>
        <v>44389</v>
      </c>
      <c r="D16" s="824">
        <f t="shared" si="6"/>
        <v>44390</v>
      </c>
      <c r="E16" s="824">
        <f t="shared" si="6"/>
        <v>44391</v>
      </c>
      <c r="F16" s="824">
        <f t="shared" si="6"/>
        <v>44392</v>
      </c>
      <c r="G16" s="824">
        <f t="shared" si="6"/>
        <v>44393</v>
      </c>
      <c r="H16" s="824">
        <f t="shared" si="6"/>
        <v>44394</v>
      </c>
      <c r="I16" s="824">
        <f t="shared" si="6"/>
        <v>44395</v>
      </c>
      <c r="J16" s="739"/>
      <c r="K16" s="739"/>
      <c r="L16" s="739"/>
      <c r="M16" s="739"/>
      <c r="N16" s="739"/>
      <c r="O16" s="739"/>
      <c r="P16" s="739"/>
      <c r="Q16" s="739"/>
      <c r="R16" s="739"/>
      <c r="S16" s="739"/>
      <c r="T16" s="739"/>
      <c r="U16" s="739"/>
      <c r="V16" s="739"/>
      <c r="W16" s="739"/>
      <c r="X16" s="739"/>
      <c r="Y16" s="739"/>
      <c r="Z16" s="739"/>
      <c r="AA16" s="739"/>
    </row>
    <row r="17" spans="1:27" ht="60" customHeight="1" thickBot="1" x14ac:dyDescent="0.3">
      <c r="A17" s="945" t="s">
        <v>515</v>
      </c>
      <c r="B17" s="834" t="s">
        <v>514</v>
      </c>
      <c r="C17" s="822" t="s">
        <v>513</v>
      </c>
      <c r="D17" s="821" t="str">
        <f>CONCATENATE("LT 16K w/8K @ 15k to HMP Pace ",CHAR(10), TEXT(G47, "h:mm"), " to ", TEXT(H47,"h:mm"), CHAR(10),"HR &lt; ",TEXT(C47, "000"))</f>
        <v>LT 16K w/8K @ 15k to HMP Pace 
0:06 to 0:06
HR &lt; 173</v>
      </c>
      <c r="E17" s="821" t="str">
        <f>CONCATENATE("RR 6K", CHAR(10), "Pace up to ",TEXT(H43, "m:ss"), CHAR(10),"HR &lt; ",TEXT(C43, "000"))</f>
        <v>RR 6K
Pace up to 8:18
HR &lt; 144</v>
      </c>
      <c r="F17" s="821" t="str">
        <f>CONCATENATE("MLR 18K ",CHAR(10),"Pace ",TEXT(G45, "m:ss")," to ",TEXT(H45,"m:ss"), CHAR(10),"HR &lt; ",TEXT(C45, "000"))</f>
        <v>MLR 18K 
Pace 7:40 to 7:02
HR &lt; 160</v>
      </c>
      <c r="G17" s="822" t="s">
        <v>501</v>
      </c>
      <c r="H17" s="821" t="str">
        <f>CONCATENATE("GA 11k w/ 8 x 100m strides ",CHAR(10), "Pace ", TEXT(G44, "m:ss")," to ",TEXT(H44,"m:ss"), CHAR(10),"HR &lt; ",TEXT(C44, "000"))</f>
        <v>GA 11k w/ 8 x 100m strides 
Pace 7:59 to 7:21
HR &lt; 154</v>
      </c>
      <c r="I17" s="821" t="str">
        <f>CONCATENATE("LR 29K ",CHAR(10),"Pace ",TEXT(G45, "m:ss")," to ",TEXT(H45,"m:ss"), CHAR(10),"HR &lt; ",TEXT(C45, "000"))</f>
        <v>LR 29K 
Pace 7:40 to 7:02
HR &lt; 160</v>
      </c>
      <c r="J17" s="740"/>
      <c r="K17" s="740"/>
      <c r="L17" s="740"/>
      <c r="M17" s="739"/>
      <c r="N17" s="739"/>
      <c r="O17" s="739"/>
      <c r="P17" s="739"/>
      <c r="Q17" s="739"/>
      <c r="R17" s="739"/>
      <c r="S17" s="739"/>
      <c r="T17" s="739"/>
      <c r="U17" s="739"/>
      <c r="V17" s="739"/>
      <c r="W17" s="739"/>
      <c r="X17" s="739"/>
      <c r="Y17" s="739"/>
      <c r="Z17" s="739"/>
      <c r="AA17" s="739"/>
    </row>
    <row r="18" spans="1:27" ht="15.75" customHeight="1" thickBot="1" x14ac:dyDescent="0.3">
      <c r="A18" s="946"/>
      <c r="B18" s="825">
        <v>10</v>
      </c>
      <c r="C18" s="824">
        <f>C16+7</f>
        <v>44396</v>
      </c>
      <c r="D18" s="824">
        <f t="shared" ref="D18:I18" si="7">D16+7</f>
        <v>44397</v>
      </c>
      <c r="E18" s="824">
        <f t="shared" si="7"/>
        <v>44398</v>
      </c>
      <c r="F18" s="824">
        <f t="shared" si="7"/>
        <v>44399</v>
      </c>
      <c r="G18" s="824">
        <f t="shared" si="7"/>
        <v>44400</v>
      </c>
      <c r="H18" s="824">
        <f t="shared" si="7"/>
        <v>44401</v>
      </c>
      <c r="I18" s="824">
        <f t="shared" si="7"/>
        <v>44402</v>
      </c>
      <c r="J18" s="739"/>
      <c r="K18" s="739"/>
      <c r="L18" s="739"/>
      <c r="M18" s="739"/>
      <c r="N18" s="739"/>
      <c r="O18" s="739"/>
      <c r="P18" s="739"/>
      <c r="Q18" s="739"/>
      <c r="R18" s="739"/>
      <c r="S18" s="739"/>
      <c r="T18" s="739"/>
      <c r="U18" s="739"/>
      <c r="V18" s="739"/>
      <c r="W18" s="739"/>
      <c r="X18" s="739"/>
      <c r="Y18" s="739"/>
      <c r="Z18" s="739"/>
      <c r="AA18" s="739"/>
    </row>
    <row r="19" spans="1:27" ht="64.5" customHeight="1" thickBot="1" x14ac:dyDescent="0.3">
      <c r="A19" s="946"/>
      <c r="B19" s="833" t="s">
        <v>512</v>
      </c>
      <c r="C19" s="822" t="s">
        <v>501</v>
      </c>
      <c r="D19" s="821" t="str">
        <f>CONCATENATE("RR + Speed 11K w/ 6x100 strides", CHAR(10), "Pace up to ",TEXT(H43, "m:ss"), CHAR(10),"HR &lt; ",TEXT(C43, "000"))</f>
        <v>RR + Speed 11K w/ 6x100 strides
Pace up to 8:18
HR &lt; 144</v>
      </c>
      <c r="E19" s="821" t="str">
        <f>I15</f>
        <v>MLR 19K 
Pace 7:40 to 7:02
HR &lt; 160</v>
      </c>
      <c r="F19" s="822" t="s">
        <v>501</v>
      </c>
      <c r="G19" s="821" t="str">
        <f>CONCATENATE("LT 16K w/10K @ 15k to HMP Pace ",CHAR(10), TEXT(G47, "h:mm"), " to ", TEXT(H47,"h:mm"), CHAR(10),"HR &lt; ",TEXT(C47, "000"))</f>
        <v>LT 16K w/10K @ 15k to HMP Pace 
0:06 to 0:06
HR &lt; 173</v>
      </c>
      <c r="H19" s="821" t="str">
        <f>CONCATENATE("RR 8K", CHAR(10), "Pace up to ",TEXT(H43, "m:ss"), CHAR(10),"HR &lt; ",TEXT(C43, "000"))</f>
        <v>RR 8K
Pace up to 8:18
HR &lt; 144</v>
      </c>
      <c r="I19" s="821" t="str">
        <f>CONCATENATE("LR 32K ",CHAR(10),"Pace ",TEXT(G45, "m:ss")," to ",TEXT(H45,"m:ss"), CHAR(10),"HR &lt; ",TEXT(C45, "000"))</f>
        <v>LR 32K 
Pace 7:40 to 7:02
HR &lt; 160</v>
      </c>
      <c r="J19" s="740"/>
      <c r="K19" s="740"/>
      <c r="L19" s="740"/>
      <c r="M19" s="739"/>
      <c r="N19" s="739"/>
      <c r="O19" s="739"/>
      <c r="P19" s="739"/>
      <c r="Q19" s="739"/>
      <c r="R19" s="739"/>
      <c r="S19" s="739"/>
      <c r="T19" s="739"/>
      <c r="U19" s="739"/>
      <c r="V19" s="739"/>
      <c r="W19" s="739"/>
      <c r="X19" s="739"/>
      <c r="Y19" s="739"/>
      <c r="Z19" s="739"/>
      <c r="AA19" s="739"/>
    </row>
    <row r="20" spans="1:27" ht="15.75" customHeight="1" thickBot="1" x14ac:dyDescent="0.3">
      <c r="A20" s="946"/>
      <c r="B20" s="825">
        <v>9</v>
      </c>
      <c r="C20" s="824">
        <f t="shared" ref="C20:I20" si="8">C18+7</f>
        <v>44403</v>
      </c>
      <c r="D20" s="824">
        <f t="shared" si="8"/>
        <v>44404</v>
      </c>
      <c r="E20" s="824">
        <f t="shared" si="8"/>
        <v>44405</v>
      </c>
      <c r="F20" s="824">
        <f>F18+7</f>
        <v>44406</v>
      </c>
      <c r="G20" s="824">
        <f t="shared" si="8"/>
        <v>44407</v>
      </c>
      <c r="H20" s="824">
        <f t="shared" si="8"/>
        <v>44408</v>
      </c>
      <c r="I20" s="824">
        <f t="shared" si="8"/>
        <v>44409</v>
      </c>
      <c r="J20" s="739"/>
      <c r="K20" s="739"/>
      <c r="L20" s="739"/>
      <c r="M20" s="739"/>
      <c r="N20" s="739"/>
      <c r="O20" s="739"/>
      <c r="P20" s="739"/>
      <c r="Q20" s="739"/>
      <c r="R20" s="739"/>
      <c r="S20" s="739"/>
      <c r="T20" s="739"/>
      <c r="U20" s="739"/>
      <c r="V20" s="739"/>
      <c r="W20" s="739"/>
      <c r="X20" s="739"/>
      <c r="Y20" s="739"/>
      <c r="Z20" s="739"/>
      <c r="AA20" s="739"/>
    </row>
    <row r="21" spans="1:27" ht="60.75" customHeight="1" thickBot="1" x14ac:dyDescent="0.3">
      <c r="A21" s="946"/>
      <c r="B21" s="833" t="s">
        <v>511</v>
      </c>
      <c r="C21" s="822" t="s">
        <v>501</v>
      </c>
      <c r="D21" s="821" t="str">
        <f>CONCATENATE("RR 10K", CHAR(10), "Pace up to ",TEXT(H43, "m:ss"), CHAR(10),"HR &lt; ",TEXT(C43, "000"))</f>
        <v>RR 10K
Pace up to 8:18
HR &lt; 144</v>
      </c>
      <c r="E21" s="821" t="str">
        <f>CONCATENATE("MLR 23K ",CHAR(10),"Pace ",TEXT(G45, "m:ss")," to ",TEXT(H45,"m:ss"), CHAR(10),"HR &lt; ",TEXT(C45, "000"))</f>
        <v>MLR 23K 
Pace 7:40 to 7:02
HR &lt; 160</v>
      </c>
      <c r="F21" s="821" t="str">
        <f>CONCATENATE("RR 10K", CHAR(10), "Pace up to ",TEXT(H43, "m:ss"), CHAR(10),"HR &lt; ",TEXT(C43, "000"))</f>
        <v>RR 10K
Pace up to 8:18
HR &lt; 144</v>
      </c>
      <c r="G21" s="822" t="s">
        <v>501</v>
      </c>
      <c r="H21" s="821" t="str">
        <f>CONCATENATE("RR + Speed 10K w/ 6x100 strides", CHAR(10), "Pace up to ",TEXT(H43, "m:ss"), CHAR(10),"HR &lt; ",TEXT(C43, "000"))</f>
        <v>RR + Speed 10K w/ 6x100 strides
Pace up to 8:18
HR &lt; 144</v>
      </c>
      <c r="I21" s="821" t="str">
        <f>CONCATENATE("MP 26k w/ 19k@MP",CHAR(10),"MP Pace ",TEXT(G49, "m:ss"), CHAR(10),"HR &lt; ",TEXT(C49, "000"))</f>
        <v>MP 26k w/ 19k@MP
MP Pace 6:23
HR &lt; 167</v>
      </c>
      <c r="J21" s="740"/>
      <c r="K21" s="740"/>
      <c r="L21" s="740"/>
      <c r="M21" s="739"/>
      <c r="N21" s="739"/>
      <c r="O21" s="739"/>
      <c r="P21" s="739"/>
      <c r="Q21" s="739"/>
      <c r="R21" s="739"/>
      <c r="S21" s="739"/>
      <c r="T21" s="739"/>
      <c r="U21" s="739"/>
      <c r="V21" s="739"/>
      <c r="W21" s="739"/>
      <c r="X21" s="739"/>
      <c r="Y21" s="739"/>
      <c r="Z21" s="739"/>
      <c r="AA21" s="739"/>
    </row>
    <row r="22" spans="1:27" ht="15.75" customHeight="1" thickBot="1" x14ac:dyDescent="0.3">
      <c r="A22" s="946"/>
      <c r="B22" s="825">
        <v>8</v>
      </c>
      <c r="C22" s="824">
        <f t="shared" ref="C22:I22" si="9">C20+7</f>
        <v>44410</v>
      </c>
      <c r="D22" s="824">
        <f t="shared" si="9"/>
        <v>44411</v>
      </c>
      <c r="E22" s="824">
        <f t="shared" si="9"/>
        <v>44412</v>
      </c>
      <c r="F22" s="824">
        <f t="shared" si="9"/>
        <v>44413</v>
      </c>
      <c r="G22" s="824">
        <f t="shared" si="9"/>
        <v>44414</v>
      </c>
      <c r="H22" s="824">
        <f t="shared" si="9"/>
        <v>44415</v>
      </c>
      <c r="I22" s="824">
        <f t="shared" si="9"/>
        <v>44416</v>
      </c>
      <c r="J22" s="739"/>
      <c r="K22" s="739"/>
      <c r="L22" s="739"/>
      <c r="M22" s="739"/>
      <c r="N22" s="739"/>
      <c r="O22" s="739"/>
      <c r="P22" s="739"/>
      <c r="Q22" s="739"/>
      <c r="R22" s="739"/>
      <c r="S22" s="739"/>
      <c r="T22" s="739"/>
      <c r="U22" s="739"/>
      <c r="V22" s="739"/>
      <c r="W22" s="739"/>
      <c r="X22" s="739"/>
      <c r="Y22" s="739"/>
      <c r="Z22" s="739"/>
      <c r="AA22" s="739"/>
    </row>
    <row r="23" spans="1:27" ht="60" customHeight="1" thickBot="1" x14ac:dyDescent="0.3">
      <c r="A23" s="946"/>
      <c r="B23" s="833" t="s">
        <v>510</v>
      </c>
      <c r="C23" s="822" t="s">
        <v>501</v>
      </c>
      <c r="D23" s="821" t="str">
        <f>CONCATENATE("GA 13K ",CHAR(10), "Pace ", TEXT(G44, "m:ss")," to ",TEXT(H44,"m:ss"), CHAR(10),"HR &lt; ",TEXT(E44, "000"))</f>
        <v>GA 13K 
Pace 7:59 to 7:21
HR &lt; 143</v>
      </c>
      <c r="E23" s="821" t="str">
        <f>CONCATENATE("VO2max 13k w/ 5x800 ",CHAR(10),"Pace ",TEXT(G48, "m:ss"), CHAR(10),"HR &lt; ",TEXT(C48, "000"))</f>
        <v>VO2max 13k w/ 5x800 
Pace 5:38
HR &lt; 181</v>
      </c>
      <c r="F23" s="821" t="str">
        <f>CONCATENATE("RR 8K", CHAR(10), "Pace up to ",TEXT(H43, "m:ss"), CHAR(10),"HR &lt; ",TEXT(C43, "000"))</f>
        <v>RR 8K
Pace up to 8:18
HR &lt; 144</v>
      </c>
      <c r="G23" s="822" t="s">
        <v>501</v>
      </c>
      <c r="H23" s="821" t="str">
        <f>CONCATENATE("GA13kw/ 8 x 100m strides ",CHAR(10), "Pace ", TEXT(G44, "m:ss")," to ",TEXT(H44,"m:ss"), CHAR(10),"HR &lt; ",TEXT(C44, "000"))</f>
        <v>GA13kw/ 8 x 100m strides 
Pace 7:59 to 7:21
HR &lt; 154</v>
      </c>
      <c r="I23" s="821" t="str">
        <f>CONCATENATE("MLR 23K ",CHAR(10),"Pace ",TEXT(G45, "m:ss")," to ",TEXT(H45,"m:ss"), CHAR(10),"HR &lt; ",TEXT(C45, "000"))</f>
        <v>MLR 23K 
Pace 7:40 to 7:02
HR &lt; 160</v>
      </c>
      <c r="J23" s="740"/>
      <c r="K23" s="740"/>
      <c r="L23" s="740"/>
      <c r="M23" s="739"/>
      <c r="N23" s="739"/>
      <c r="O23" s="739"/>
      <c r="P23" s="739"/>
      <c r="Q23" s="739"/>
      <c r="R23" s="739"/>
      <c r="S23" s="739"/>
      <c r="T23" s="739"/>
      <c r="U23" s="739"/>
      <c r="V23" s="739"/>
      <c r="W23" s="739"/>
      <c r="X23" s="739"/>
      <c r="Y23" s="739"/>
      <c r="Z23" s="739"/>
      <c r="AA23" s="739"/>
    </row>
    <row r="24" spans="1:27" ht="15.75" customHeight="1" thickBot="1" x14ac:dyDescent="0.3">
      <c r="A24" s="946"/>
      <c r="B24" s="825">
        <v>7</v>
      </c>
      <c r="C24" s="824">
        <f t="shared" ref="C24:I24" si="10">C22+7</f>
        <v>44417</v>
      </c>
      <c r="D24" s="824">
        <f t="shared" si="10"/>
        <v>44418</v>
      </c>
      <c r="E24" s="824">
        <f t="shared" si="10"/>
        <v>44419</v>
      </c>
      <c r="F24" s="824">
        <f t="shared" si="10"/>
        <v>44420</v>
      </c>
      <c r="G24" s="824">
        <f t="shared" si="10"/>
        <v>44421</v>
      </c>
      <c r="H24" s="824">
        <f t="shared" si="10"/>
        <v>44422</v>
      </c>
      <c r="I24" s="824">
        <f t="shared" si="10"/>
        <v>44423</v>
      </c>
      <c r="J24" s="739"/>
      <c r="K24" s="739"/>
      <c r="L24" s="739"/>
      <c r="M24" s="739"/>
      <c r="N24" s="739"/>
      <c r="O24" s="739"/>
      <c r="P24" s="739"/>
      <c r="Q24" s="739"/>
      <c r="R24" s="739"/>
      <c r="S24" s="739"/>
      <c r="T24" s="739"/>
      <c r="U24" s="739"/>
      <c r="V24" s="739"/>
      <c r="W24" s="739"/>
      <c r="X24" s="739"/>
      <c r="Y24" s="739"/>
      <c r="Z24" s="739"/>
      <c r="AA24" s="739"/>
    </row>
    <row r="25" spans="1:27" ht="60.75" customHeight="1" thickBot="1" x14ac:dyDescent="0.3">
      <c r="A25" s="947"/>
      <c r="B25" s="832" t="s">
        <v>509</v>
      </c>
      <c r="C25" s="822" t="s">
        <v>501</v>
      </c>
      <c r="D25" s="821" t="str">
        <f>CONCATENATE("RR + Speed 11 k w/ 6x100 strides", CHAR(10), "Pace up to ",TEXT(H43, "m:ss"), CHAR(10),"HR &lt; ",TEXT(C43, "000"))</f>
        <v>RR + Speed 11 k w/ 6x100 strides
Pace up to 8:18
HR &lt; 144</v>
      </c>
      <c r="E25" s="821" t="str">
        <f>CONCATENATE("LT 18K w/11K @ 15k to HP Pace",CHAR(10), TEXT(G47, "m:ss"), " to ", TEXT(H47,"m:ss"), CHAR(10),"HR &lt; ",TEXT(C47, "000"))</f>
        <v>LT 18K w/11K @ 15k to HP Pace
6:08 to 6:01
HR &lt; 173</v>
      </c>
      <c r="F25" s="822" t="s">
        <v>501</v>
      </c>
      <c r="G25" s="821" t="str">
        <f>CONCATENATE("MLR 19K ",CHAR(10),"Pace ",TEXT(G45, "m:ss")," to ",TEXT(H45,"m:ss"), CHAR(10),"HR &lt; ",TEXT(C45, "000"))</f>
        <v>MLR 19K 
Pace 7:40 to 7:02
HR &lt; 160</v>
      </c>
      <c r="H25" s="821" t="str">
        <f>CONCATENATE("RR 8K", CHAR(10), "Pace up to ",TEXT(H43, "m:ss"), CHAR(10), "HR &lt; ",TEXT(C43, "000"))</f>
        <v>RR 8K
Pace up to 8:18
HR &lt; 144</v>
      </c>
      <c r="I25" s="821" t="str">
        <f>CONCATENATE("LR 32K ",CHAR(10),"Pace ",TEXT(G45, "m:ss")," to ",TEXT(H45,"m:ss"), CHAR(10),"HR &lt; ",TEXT(C45, "000"))</f>
        <v>LR 32K 
Pace 7:40 to 7:02
HR &lt; 160</v>
      </c>
      <c r="J25" s="740"/>
      <c r="K25" s="740"/>
      <c r="L25" s="739"/>
      <c r="M25" s="739"/>
      <c r="N25" s="739"/>
      <c r="O25" s="739"/>
      <c r="P25" s="739"/>
      <c r="Q25" s="739"/>
      <c r="R25" s="739"/>
      <c r="S25" s="739"/>
      <c r="T25" s="739"/>
      <c r="U25" s="739"/>
      <c r="V25" s="739"/>
      <c r="W25" s="739"/>
      <c r="X25" s="739"/>
      <c r="Y25" s="739"/>
      <c r="Z25" s="739"/>
      <c r="AA25" s="739"/>
    </row>
    <row r="26" spans="1:27" ht="15.75" customHeight="1" thickBot="1" x14ac:dyDescent="0.3">
      <c r="A26" s="828"/>
      <c r="B26" s="831">
        <v>6</v>
      </c>
      <c r="C26" s="824">
        <f t="shared" ref="C26:I26" si="11">C24+7</f>
        <v>44424</v>
      </c>
      <c r="D26" s="824">
        <f t="shared" si="11"/>
        <v>44425</v>
      </c>
      <c r="E26" s="824">
        <f t="shared" si="11"/>
        <v>44426</v>
      </c>
      <c r="F26" s="824">
        <f t="shared" si="11"/>
        <v>44427</v>
      </c>
      <c r="G26" s="824">
        <f t="shared" si="11"/>
        <v>44428</v>
      </c>
      <c r="H26" s="824">
        <f t="shared" si="11"/>
        <v>44429</v>
      </c>
      <c r="I26" s="824">
        <f t="shared" si="11"/>
        <v>44430</v>
      </c>
      <c r="J26" s="739"/>
      <c r="K26" s="739"/>
      <c r="L26" s="739"/>
      <c r="M26" s="739"/>
      <c r="N26" s="739"/>
      <c r="O26" s="739"/>
      <c r="P26" s="739"/>
      <c r="Q26" s="739"/>
      <c r="R26" s="739"/>
      <c r="S26" s="739"/>
      <c r="T26" s="739"/>
      <c r="U26" s="739"/>
      <c r="V26" s="739"/>
      <c r="W26" s="739"/>
      <c r="X26" s="739"/>
      <c r="Y26" s="739"/>
      <c r="Z26" s="739"/>
      <c r="AA26" s="739"/>
    </row>
    <row r="27" spans="1:27" ht="54" customHeight="1" thickBot="1" x14ac:dyDescent="0.3">
      <c r="A27" s="948" t="s">
        <v>508</v>
      </c>
      <c r="B27" s="830" t="s">
        <v>507</v>
      </c>
      <c r="C27" s="822" t="s">
        <v>501</v>
      </c>
      <c r="D27" s="821" t="str">
        <f>CONCATENATE("VO2max 13k w/ 5x600",CHAR(10),"Pace ",TEXT(G48, "m:ss"), CHAR(10),"HR &lt; ",TEXT(C48, "000"))</f>
        <v>VO2max 13k w/ 5x600
Pace 5:38
HR &lt; 181</v>
      </c>
      <c r="E27" s="821" t="str">
        <f>CONCATENATE("MLR 19K ",CHAR(10),"Pace ",TEXT(G45, "m:ss")," to ",TEXT(H45,"m:ss"), CHAR(10),"HR &lt; ",TEXT(C45, "000"))</f>
        <v>MLR 19K 
Pace 7:40 to 7:02
HR &lt; 160</v>
      </c>
      <c r="F27" s="822" t="s">
        <v>501</v>
      </c>
      <c r="G27" s="821" t="str">
        <f>CONCATENATE("RR + Speed 8k w/ 6x100 strides", CHAR(10), "Pace up to ",TEXT(H43, "m:ss"), CHAR(10),"HR &lt; ",TEXT(C43, "000"))</f>
        <v>RR + Speed 8k w/ 6x100 strides
Pace up to 8:18
HR &lt; 144</v>
      </c>
      <c r="H27" s="827" t="str">
        <f>CONCATENATE("8-15k tune up race total 14-21k ",CHAR(10),"Pace ",TEXT(G50, "h:mm"), CHAR(10))</f>
        <v xml:space="preserve">8-15k tune up race total 14-21k 
Pace 0:05
</v>
      </c>
      <c r="I27" s="821" t="str">
        <f>CONCATENATE("LR 27K ",CHAR(10),"Pace ",TEXT(G45, "m:ss")," to ",TEXT(H45,"m:ss"), CHAR(10),"HR &lt; ",TEXT(C45, "000"))</f>
        <v>LR 27K 
Pace 7:40 to 7:02
HR &lt; 160</v>
      </c>
      <c r="J27" s="740"/>
      <c r="K27" s="740"/>
      <c r="L27" s="739"/>
      <c r="M27" s="739"/>
      <c r="N27" s="739"/>
      <c r="O27" s="739"/>
      <c r="P27" s="739"/>
      <c r="Q27" s="739"/>
      <c r="R27" s="739"/>
      <c r="S27" s="739"/>
      <c r="T27" s="739"/>
      <c r="U27" s="739"/>
      <c r="V27" s="739"/>
      <c r="W27" s="739"/>
      <c r="X27" s="739"/>
      <c r="Y27" s="739"/>
      <c r="Z27" s="739"/>
      <c r="AA27" s="739"/>
    </row>
    <row r="28" spans="1:27" ht="15.75" customHeight="1" thickBot="1" x14ac:dyDescent="0.3">
      <c r="A28" s="949"/>
      <c r="B28" s="825">
        <v>5</v>
      </c>
      <c r="C28" s="824">
        <f t="shared" ref="C28:I28" si="12">C26+7</f>
        <v>44431</v>
      </c>
      <c r="D28" s="824">
        <f t="shared" si="12"/>
        <v>44432</v>
      </c>
      <c r="E28" s="824">
        <f t="shared" si="12"/>
        <v>44433</v>
      </c>
      <c r="F28" s="824">
        <f t="shared" si="12"/>
        <v>44434</v>
      </c>
      <c r="G28" s="824">
        <f t="shared" si="12"/>
        <v>44435</v>
      </c>
      <c r="H28" s="824">
        <f t="shared" si="12"/>
        <v>44436</v>
      </c>
      <c r="I28" s="824">
        <f t="shared" si="12"/>
        <v>44437</v>
      </c>
      <c r="J28" s="739"/>
      <c r="K28" s="739"/>
      <c r="L28" s="739"/>
      <c r="M28" s="739"/>
      <c r="N28" s="739"/>
      <c r="O28" s="739"/>
      <c r="P28" s="739"/>
      <c r="Q28" s="739"/>
      <c r="R28" s="739"/>
      <c r="S28" s="739"/>
      <c r="T28" s="739"/>
      <c r="U28" s="739"/>
      <c r="V28" s="739"/>
      <c r="W28" s="739"/>
      <c r="X28" s="739"/>
      <c r="Y28" s="739"/>
      <c r="Z28" s="739"/>
      <c r="AA28" s="739"/>
    </row>
    <row r="29" spans="1:27" ht="59.25" customHeight="1" thickBot="1" x14ac:dyDescent="0.3">
      <c r="A29" s="949"/>
      <c r="B29" s="829" t="s">
        <v>505</v>
      </c>
      <c r="C29" s="822" t="s">
        <v>501</v>
      </c>
      <c r="D29" s="821" t="str">
        <f>CONCATENATE("GA 13K ",CHAR(10), "Pace ", TEXT(G44, "m:ss")," to ",TEXT(H44,"m:ss"), CHAR(10),"HR &lt; ",TEXT(C44, "000"))</f>
        <v>GA 13K 
Pace 7:59 to 7:21
HR &lt; 154</v>
      </c>
      <c r="E29" s="821" t="str">
        <f>CONCATENATE("VO2max 14k w/ 5x1000 ",CHAR(10),"Pace ",TEXT(G48, "m:ss"), CHAR(10),"HR &lt; ",TEXT(C48, "000"))</f>
        <v>VO2max 14k w/ 5x1000 
Pace 5:38
HR &lt; 181</v>
      </c>
      <c r="F29" s="822" t="s">
        <v>501</v>
      </c>
      <c r="G29" s="821" t="str">
        <f>G25</f>
        <v>MLR 19K 
Pace 7:40 to 7:02
HR &lt; 160</v>
      </c>
      <c r="H29" s="821" t="str">
        <f>CONCATENATE("RR 8K", CHAR(10), "Pace up to ",TEXT(H43, "m:ss"), CHAR(10),"HR &lt; ",TEXT(C43, "000"))</f>
        <v>RR 8K
Pace up to 8:18
HR &lt; 144</v>
      </c>
      <c r="I29" s="821" t="str">
        <f>CONCATENATE("MP run 29k w/ 23k@MP",CHAR(10),"MP Pace ",TEXT(G49, "m:ss"), CHAR(10),"HR &lt; ",TEXT(C49, "000"))</f>
        <v>MP run 29k w/ 23k@MP
MP Pace 6:23
HR &lt; 167</v>
      </c>
      <c r="J29" s="740"/>
      <c r="K29" s="740"/>
      <c r="L29" s="740"/>
      <c r="M29" s="739"/>
      <c r="N29" s="739"/>
      <c r="O29" s="739"/>
      <c r="P29" s="739"/>
      <c r="Q29" s="739"/>
      <c r="R29" s="739"/>
      <c r="S29" s="739"/>
      <c r="T29" s="739"/>
      <c r="U29" s="739"/>
      <c r="V29" s="739"/>
      <c r="W29" s="739"/>
      <c r="X29" s="739"/>
      <c r="Y29" s="739"/>
      <c r="Z29" s="739"/>
      <c r="AA29" s="739"/>
    </row>
    <row r="30" spans="1:27" ht="15.75" customHeight="1" thickBot="1" x14ac:dyDescent="0.3">
      <c r="A30" s="949"/>
      <c r="B30" s="825">
        <v>4</v>
      </c>
      <c r="C30" s="824">
        <f t="shared" ref="C30:I30" si="13">C28+7</f>
        <v>44438</v>
      </c>
      <c r="D30" s="824">
        <f t="shared" si="13"/>
        <v>44439</v>
      </c>
      <c r="E30" s="824">
        <f t="shared" si="13"/>
        <v>44440</v>
      </c>
      <c r="F30" s="824">
        <f t="shared" si="13"/>
        <v>44441</v>
      </c>
      <c r="G30" s="824">
        <f t="shared" si="13"/>
        <v>44442</v>
      </c>
      <c r="H30" s="824">
        <f t="shared" si="13"/>
        <v>44443</v>
      </c>
      <c r="I30" s="824">
        <f t="shared" si="13"/>
        <v>44444</v>
      </c>
      <c r="J30" s="739"/>
      <c r="K30" s="739"/>
      <c r="L30" s="739"/>
      <c r="M30" s="739"/>
      <c r="N30" s="739"/>
      <c r="O30" s="739"/>
      <c r="P30" s="739"/>
      <c r="Q30" s="739"/>
      <c r="R30" s="739"/>
      <c r="S30" s="739"/>
      <c r="T30" s="739"/>
      <c r="U30" s="739"/>
      <c r="V30" s="739"/>
      <c r="W30" s="739"/>
      <c r="X30" s="739"/>
      <c r="Y30" s="739"/>
      <c r="Z30" s="739"/>
      <c r="AA30" s="739"/>
    </row>
    <row r="31" spans="1:27" ht="64.5" customHeight="1" thickBot="1" x14ac:dyDescent="0.3">
      <c r="A31" s="949"/>
      <c r="B31" s="829" t="s">
        <v>506</v>
      </c>
      <c r="C31" s="822" t="s">
        <v>501</v>
      </c>
      <c r="D31" s="821" t="str">
        <f>D27</f>
        <v>VO2max 13k w/ 5x600
Pace 5:38
HR &lt; 181</v>
      </c>
      <c r="E31" s="821" t="str">
        <f>CONCATENATE("MLR 18K ",CHAR(10),"Pace ",TEXT(G45, "m:ss")," to ",TEXT(H45,"m:ss"), CHAR(10),"HR &lt; ",TEXT(C45, "000"))</f>
        <v>MLR 18K 
Pace 7:40 to 7:02
HR &lt; 160</v>
      </c>
      <c r="F31" s="822" t="s">
        <v>501</v>
      </c>
      <c r="G31" s="821" t="str">
        <f>CONCATENATE("RR + Speed 6k w/ 6x100 strides", CHAR(10), "Pace up to ",TEXT(H43, "m:ss"), CHAR(10),"HR &lt; ",TEXT(C43, "000"))</f>
        <v>RR + Speed 6k w/ 6x100 strides
Pace up to 8:18
HR &lt; 144</v>
      </c>
      <c r="H31" s="827" t="str">
        <f>CONCATENATE("8-15k tune up race total 14-21k ",CHAR(10),"Pace ",TEXT(G50, "h:mm"), CHAR(10))</f>
        <v xml:space="preserve">8-15k tune up race total 14-21k 
Pace 0:05
</v>
      </c>
      <c r="I31" s="821" t="str">
        <f>I27</f>
        <v>LR 27K 
Pace 7:40 to 7:02
HR &lt; 160</v>
      </c>
      <c r="J31" s="740"/>
      <c r="K31" s="740"/>
      <c r="L31" s="740"/>
      <c r="M31" s="739"/>
      <c r="N31" s="739"/>
      <c r="O31" s="739"/>
      <c r="P31" s="739"/>
      <c r="Q31" s="739"/>
      <c r="R31" s="739"/>
      <c r="S31" s="739"/>
      <c r="T31" s="739"/>
      <c r="U31" s="739"/>
      <c r="V31" s="739"/>
      <c r="W31" s="739"/>
      <c r="X31" s="739"/>
      <c r="Y31" s="739"/>
      <c r="Z31" s="739"/>
      <c r="AA31" s="739"/>
    </row>
    <row r="32" spans="1:27" ht="15.75" customHeight="1" thickBot="1" x14ac:dyDescent="0.3">
      <c r="A32" s="949"/>
      <c r="B32" s="825">
        <v>3</v>
      </c>
      <c r="C32" s="824">
        <f t="shared" ref="C32:I32" si="14">C30+7</f>
        <v>44445</v>
      </c>
      <c r="D32" s="824">
        <f t="shared" si="14"/>
        <v>44446</v>
      </c>
      <c r="E32" s="824">
        <f t="shared" si="14"/>
        <v>44447</v>
      </c>
      <c r="F32" s="824">
        <f t="shared" si="14"/>
        <v>44448</v>
      </c>
      <c r="G32" s="824">
        <f t="shared" si="14"/>
        <v>44449</v>
      </c>
      <c r="H32" s="824">
        <f t="shared" si="14"/>
        <v>44450</v>
      </c>
      <c r="I32" s="824">
        <f t="shared" si="14"/>
        <v>44451</v>
      </c>
      <c r="J32" s="739"/>
      <c r="K32" s="739"/>
      <c r="L32" s="739"/>
      <c r="M32" s="739"/>
      <c r="N32" s="739"/>
      <c r="O32" s="739"/>
      <c r="P32" s="739"/>
      <c r="Q32" s="739"/>
      <c r="R32" s="739"/>
      <c r="S32" s="739"/>
      <c r="T32" s="739"/>
      <c r="U32" s="739"/>
      <c r="V32" s="739"/>
      <c r="W32" s="739"/>
      <c r="X32" s="739"/>
      <c r="Y32" s="739"/>
      <c r="Z32" s="739"/>
      <c r="AA32" s="739"/>
    </row>
    <row r="33" spans="1:28" ht="60" customHeight="1" thickBot="1" x14ac:dyDescent="0.3">
      <c r="A33" s="950"/>
      <c r="B33" s="829" t="s">
        <v>505</v>
      </c>
      <c r="C33" s="822" t="s">
        <v>501</v>
      </c>
      <c r="D33" s="821" t="str">
        <f>CONCATENATE("RR + Speed 11k w/ 6x100 strides", CHAR(10), "Pace up to ",TEXT(H43, "m:ss"), CHAR(10),"HR &lt; ",TEXT(C43, "000"))</f>
        <v>RR + Speed 11k w/ 6x100 strides
Pace up to 8:18
HR &lt; 144</v>
      </c>
      <c r="E33" s="821" t="str">
        <f>CONCATENATE("VO2max 16k w/ 4x1200 ",CHAR(10),"Pace ",TEXT(G48, "m:ss"), CHAR(10),"HR &lt; ",TEXT(C48, "000"))</f>
        <v>VO2max 16k w/ 4x1200 
Pace 5:38
HR &lt; 181</v>
      </c>
      <c r="F33" s="822" t="s">
        <v>501</v>
      </c>
      <c r="G33" s="821" t="str">
        <f>CONCATENATE("MLR 18K ",CHAR(10),"Pace ",TEXT(G45, "m:ss")," to ",TEXT(H45,"m:ss"), CHAR(10),"HR &lt; ",TEXT(C45, "000"))</f>
        <v>MLR 18K 
Pace 7:40 to 7:02
HR &lt; 160</v>
      </c>
      <c r="H33" s="821" t="str">
        <f>CONCATENATE("RR 6K", CHAR(10), "Pace up to ",TEXT(H43, "m:ss"), CHAR(10),"HR &lt; ",TEXT(C43, "000"))</f>
        <v>RR 6K
Pace up to 8:18
HR &lt; 144</v>
      </c>
      <c r="I33" s="821" t="str">
        <f>CONCATENATE("LR 32K ",CHAR(10),"Pace ",TEXT(G45, "m:ss")," to ",TEXT(H45,"m:ss"), CHAR(10),"HR &lt; ",TEXT(C45, "000"))</f>
        <v>LR 32K 
Pace 7:40 to 7:02
HR &lt; 160</v>
      </c>
      <c r="J33" s="740"/>
      <c r="K33" s="740"/>
      <c r="L33" s="740"/>
      <c r="M33" s="739"/>
      <c r="N33" s="739"/>
      <c r="O33" s="739"/>
      <c r="P33" s="739"/>
      <c r="Q33" s="739"/>
      <c r="R33" s="739"/>
      <c r="S33" s="739"/>
      <c r="T33" s="739"/>
      <c r="U33" s="739"/>
      <c r="V33" s="739"/>
      <c r="W33" s="739"/>
      <c r="X33" s="739"/>
      <c r="Y33" s="739"/>
      <c r="Z33" s="739"/>
      <c r="AA33" s="739"/>
    </row>
    <row r="34" spans="1:28" ht="15.75" customHeight="1" thickBot="1" x14ac:dyDescent="0.3">
      <c r="A34" s="828"/>
      <c r="B34" s="825">
        <v>2</v>
      </c>
      <c r="C34" s="824">
        <f t="shared" ref="C34:I34" si="15">C32+7</f>
        <v>44452</v>
      </c>
      <c r="D34" s="824">
        <f t="shared" si="15"/>
        <v>44453</v>
      </c>
      <c r="E34" s="824">
        <f t="shared" si="15"/>
        <v>44454</v>
      </c>
      <c r="F34" s="824">
        <f t="shared" si="15"/>
        <v>44455</v>
      </c>
      <c r="G34" s="824">
        <f t="shared" si="15"/>
        <v>44456</v>
      </c>
      <c r="H34" s="824">
        <f t="shared" si="15"/>
        <v>44457</v>
      </c>
      <c r="I34" s="824">
        <f t="shared" si="15"/>
        <v>44458</v>
      </c>
      <c r="J34" s="739"/>
      <c r="K34" s="739"/>
      <c r="L34" s="739"/>
      <c r="M34" s="739"/>
      <c r="N34" s="739"/>
      <c r="O34" s="739"/>
      <c r="P34" s="739"/>
      <c r="Q34" s="739"/>
      <c r="R34" s="739"/>
      <c r="S34" s="739"/>
      <c r="T34" s="739"/>
      <c r="U34" s="739"/>
      <c r="V34" s="739"/>
      <c r="W34" s="739"/>
      <c r="X34" s="739"/>
      <c r="Y34" s="739"/>
      <c r="Z34" s="739"/>
      <c r="AA34" s="739"/>
    </row>
    <row r="35" spans="1:28" ht="63" customHeight="1" thickBot="1" x14ac:dyDescent="0.3">
      <c r="A35" s="931" t="s">
        <v>504</v>
      </c>
      <c r="B35" s="826" t="s">
        <v>503</v>
      </c>
      <c r="C35" s="822" t="s">
        <v>501</v>
      </c>
      <c r="D35" s="821" t="str">
        <f>D31</f>
        <v>VO2max 13k w/ 5x600
Pace 5:38
HR &lt; 181</v>
      </c>
      <c r="E35" s="821" t="str">
        <f>CONCATENATE("RR 10K", CHAR(10), "Pace up to ",TEXT(H43, "m:ss"), CHAR(10),"HR &lt; ",TEXT(C43, "000"))</f>
        <v>RR 10K
Pace up to 8:18
HR &lt; 144</v>
      </c>
      <c r="F35" s="822" t="s">
        <v>501</v>
      </c>
      <c r="G35" s="821" t="str">
        <f>G31</f>
        <v>RR + Speed 6k w/ 6x100 strides
Pace up to 8:18
HR &lt; 144</v>
      </c>
      <c r="H35" s="827" t="str">
        <f>CONCATENATE("8k-10k tune up race (total 14-18k) ",CHAR(10),"Pace ",TEXT(G50, "h:mm"), CHAR(10))</f>
        <v xml:space="preserve">8k-10k tune up race (total 14-18k) 
Pace 0:05
</v>
      </c>
      <c r="I35" s="821" t="str">
        <f>CONCATENATE("LR 26K ",CHAR(10),"Pace ",TEXT(G45, "m:ss")," to ",TEXT(H45,"m:ss"), CHAR(10),"HR &lt; ",TEXT(C45, "000"))</f>
        <v>LR 26K 
Pace 7:40 to 7:02
HR &lt; 160</v>
      </c>
      <c r="J35" s="740"/>
      <c r="K35" s="740"/>
      <c r="L35" s="740"/>
      <c r="M35" s="739"/>
      <c r="N35" s="739"/>
      <c r="O35" s="739"/>
      <c r="P35" s="739"/>
      <c r="Q35" s="739"/>
      <c r="R35" s="739"/>
      <c r="S35" s="739"/>
      <c r="T35" s="739"/>
      <c r="U35" s="739"/>
      <c r="V35" s="739"/>
      <c r="W35" s="739"/>
      <c r="X35" s="739"/>
      <c r="Y35" s="739"/>
      <c r="Z35" s="739"/>
      <c r="AA35" s="739"/>
    </row>
    <row r="36" spans="1:28" ht="15.75" customHeight="1" thickBot="1" x14ac:dyDescent="0.3">
      <c r="A36" s="931"/>
      <c r="B36" s="825">
        <v>1</v>
      </c>
      <c r="C36" s="824">
        <f t="shared" ref="C36:I36" si="16">C34+7</f>
        <v>44459</v>
      </c>
      <c r="D36" s="824">
        <f t="shared" si="16"/>
        <v>44460</v>
      </c>
      <c r="E36" s="824">
        <f t="shared" si="16"/>
        <v>44461</v>
      </c>
      <c r="F36" s="824">
        <f t="shared" si="16"/>
        <v>44462</v>
      </c>
      <c r="G36" s="824">
        <f t="shared" si="16"/>
        <v>44463</v>
      </c>
      <c r="H36" s="824">
        <f t="shared" si="16"/>
        <v>44464</v>
      </c>
      <c r="I36" s="824">
        <f t="shared" si="16"/>
        <v>44465</v>
      </c>
      <c r="J36" s="739"/>
      <c r="K36" s="739"/>
      <c r="L36" s="739"/>
      <c r="M36" s="739"/>
      <c r="N36" s="739"/>
      <c r="O36" s="739"/>
      <c r="P36" s="739"/>
      <c r="Q36" s="739"/>
      <c r="R36" s="739"/>
      <c r="S36" s="739"/>
      <c r="T36" s="739"/>
      <c r="U36" s="739"/>
      <c r="V36" s="739"/>
      <c r="W36" s="739"/>
      <c r="X36" s="739"/>
      <c r="Y36" s="739"/>
      <c r="Z36" s="739"/>
      <c r="AA36" s="739"/>
    </row>
    <row r="37" spans="1:28" ht="62.25" customHeight="1" thickBot="1" x14ac:dyDescent="0.3">
      <c r="A37" s="931"/>
      <c r="B37" s="826" t="s">
        <v>502</v>
      </c>
      <c r="C37" s="822" t="s">
        <v>501</v>
      </c>
      <c r="D37" s="821" t="str">
        <f>CONCATENATE("GA+Speed 11k w/ 8 x 100m strides",CHAR(10), "Pace ", TEXT(G44, "m:ss")," to ",TEXT(H44,"m:ss"), CHAR(10),"HR &lt; ",TEXT(C44, "000"))</f>
        <v>GA+Speed 11k w/ 8 x 100m strides
Pace 7:59 to 7:21
HR &lt; 154</v>
      </c>
      <c r="E37" s="821" t="str">
        <f>CONCATENATE("VO2max 13k w/ 3x1600 ",CHAR(10),"Pace ",TEXT(G48, "m:ss"), CHAR(10),"HR &lt; ",TEXT(C48, "000"))</f>
        <v>VO2max 13k w/ 3x1600 
Pace 5:38
HR &lt; 181</v>
      </c>
      <c r="F37" s="822" t="s">
        <v>501</v>
      </c>
      <c r="G37" s="821" t="str">
        <f>CONCATENATE("RR + Speed 8k w/ 6x100 strides", CHAR(10), "Pace up to ",TEXT(H43, "m:ss"), CHAR(10),"HR &lt; ",TEXT(C43, "000"))</f>
        <v>RR + Speed 8k w/ 6x100 strides
Pace up to 8:18
HR &lt; 144</v>
      </c>
      <c r="H37" s="822" t="s">
        <v>501</v>
      </c>
      <c r="I37" s="821" t="str">
        <f>CONCATENATE("MLR 19K ",CHAR(10),"Pace ",TEXT(G45, "m:ss")," to ",TEXT(H45,"m:ss"), CHAR(10),"HR &lt; ",TEXT(C45, "000"))</f>
        <v>MLR 19K 
Pace 7:40 to 7:02
HR &lt; 160</v>
      </c>
      <c r="J37" s="740"/>
      <c r="K37" s="740"/>
      <c r="L37" s="740"/>
      <c r="M37" s="739"/>
      <c r="N37" s="739"/>
      <c r="O37" s="739"/>
      <c r="P37" s="739"/>
      <c r="Q37" s="739"/>
      <c r="R37" s="739"/>
      <c r="S37" s="739"/>
      <c r="T37" s="739"/>
      <c r="U37" s="739"/>
      <c r="V37" s="739"/>
      <c r="W37" s="739"/>
      <c r="X37" s="739"/>
      <c r="Y37" s="739"/>
      <c r="Z37" s="739"/>
      <c r="AA37" s="739"/>
    </row>
    <row r="38" spans="1:28" ht="15.75" customHeight="1" thickBot="1" x14ac:dyDescent="0.3">
      <c r="A38" s="931"/>
      <c r="B38" s="825">
        <v>0</v>
      </c>
      <c r="C38" s="824">
        <f t="shared" ref="C38:I38" si="17">C36+7</f>
        <v>44466</v>
      </c>
      <c r="D38" s="824">
        <f t="shared" si="17"/>
        <v>44467</v>
      </c>
      <c r="E38" s="824">
        <f t="shared" si="17"/>
        <v>44468</v>
      </c>
      <c r="F38" s="824">
        <f t="shared" si="17"/>
        <v>44469</v>
      </c>
      <c r="G38" s="824">
        <f t="shared" si="17"/>
        <v>44470</v>
      </c>
      <c r="H38" s="824">
        <f t="shared" si="17"/>
        <v>44471</v>
      </c>
      <c r="I38" s="824">
        <f t="shared" si="17"/>
        <v>44472</v>
      </c>
      <c r="J38" s="740"/>
      <c r="K38" s="740"/>
      <c r="L38" s="740"/>
      <c r="M38" s="739"/>
      <c r="N38" s="739"/>
      <c r="O38" s="739"/>
      <c r="P38" s="739"/>
      <c r="Q38" s="739"/>
      <c r="R38" s="739"/>
      <c r="S38" s="739"/>
      <c r="T38" s="739"/>
      <c r="U38" s="739"/>
      <c r="V38" s="739"/>
      <c r="W38" s="739"/>
      <c r="X38" s="739"/>
      <c r="Y38" s="739"/>
      <c r="Z38" s="739"/>
      <c r="AA38" s="739"/>
    </row>
    <row r="39" spans="1:28" ht="65.25" customHeight="1" thickBot="1" x14ac:dyDescent="0.3">
      <c r="A39" s="932"/>
      <c r="B39" s="823" t="s">
        <v>500</v>
      </c>
      <c r="C39" s="822" t="s">
        <v>499</v>
      </c>
      <c r="D39" s="821" t="str">
        <f>CONCATENATE("RR 10K", CHAR(10), "Pace up to ",TEXT(H43, "m:ss"), CHAR(10),"HR &lt; ",TEXT(C43, "000"))</f>
        <v>RR 10K
Pace up to 8:18
HR &lt; 144</v>
      </c>
      <c r="E39" s="821" t="str">
        <f>CONCATENATE("Dress rehearsal 11k w/ 3k MP",CHAR(10),"MP Pace ",TEXT(G49, "m:ss"), CHAR(10),"HR &lt; ",TEXT(C49, "000"))</f>
        <v>Dress rehearsal 11k w/ 3k MP
MP Pace 6:23
HR &lt; 167</v>
      </c>
      <c r="F39" s="822" t="s">
        <v>499</v>
      </c>
      <c r="G39" s="821" t="str">
        <f>CONCATENATE("RR + Speed 8k w/ 6x100 strides", CHAR(10), "RC Pace up to ",TEXT(H43, "m:ss"), CHAR(10),"HR &lt; ",TEXT(C43, "000"))</f>
        <v>RR + Speed 8k w/ 6x100 strides
RC Pace up to 8:18
HR &lt; 144</v>
      </c>
      <c r="H39" s="821" t="str">
        <f>CONCATENATE("RR 6K", CHAR(10), "Pace up to ",TEXT(H43, "m:ss"), CHAR(10),"HR &lt; ",TEXT(C43, "000"))</f>
        <v>RR 6K
Pace up to 8:18
HR &lt; 144</v>
      </c>
      <c r="I39" s="820" t="s">
        <v>498</v>
      </c>
      <c r="S39" s="739"/>
      <c r="T39" s="739"/>
      <c r="U39" s="739"/>
      <c r="V39" s="739"/>
      <c r="W39" s="739"/>
      <c r="X39" s="739"/>
      <c r="Y39" s="739"/>
      <c r="Z39" s="739"/>
      <c r="AA39" s="739"/>
    </row>
    <row r="40" spans="1:28" ht="21.75" customHeight="1" thickBot="1" x14ac:dyDescent="0.3">
      <c r="B40" s="819"/>
      <c r="C40" s="819"/>
      <c r="D40" s="819"/>
      <c r="E40" s="819"/>
      <c r="F40" s="819"/>
      <c r="G40" s="819"/>
      <c r="H40" s="819"/>
      <c r="I40" s="819"/>
      <c r="S40" s="739"/>
      <c r="T40" s="739"/>
      <c r="U40" s="739"/>
      <c r="V40" s="739"/>
      <c r="W40" s="739"/>
      <c r="X40" s="739"/>
      <c r="Y40" s="739"/>
      <c r="Z40" s="739"/>
      <c r="AA40" s="739"/>
    </row>
    <row r="41" spans="1:28" ht="29.25" customHeight="1" x14ac:dyDescent="0.25">
      <c r="A41" s="818" t="s">
        <v>497</v>
      </c>
      <c r="B41" s="817">
        <f>PaceCalMaxHR!B7</f>
        <v>190</v>
      </c>
      <c r="C41" s="816" t="s">
        <v>496</v>
      </c>
      <c r="D41" s="815" t="s">
        <v>495</v>
      </c>
      <c r="E41" s="814" t="s">
        <v>494</v>
      </c>
      <c r="F41" s="813" t="s">
        <v>493</v>
      </c>
      <c r="G41" s="812" t="s">
        <v>492</v>
      </c>
      <c r="H41" s="812" t="s">
        <v>491</v>
      </c>
      <c r="I41" s="812"/>
      <c r="M41" s="739"/>
      <c r="N41" s="739"/>
      <c r="O41" s="739"/>
      <c r="P41" s="739"/>
      <c r="Q41" s="739"/>
      <c r="R41" s="739"/>
    </row>
    <row r="42" spans="1:28" ht="17.25" customHeight="1" x14ac:dyDescent="0.25">
      <c r="A42" s="811" t="s">
        <v>490</v>
      </c>
      <c r="B42" s="809"/>
      <c r="C42" s="810" t="s">
        <v>489</v>
      </c>
      <c r="D42" s="810"/>
      <c r="E42" s="810" t="s">
        <v>489</v>
      </c>
      <c r="F42" s="810"/>
      <c r="G42" s="809" t="s">
        <v>488</v>
      </c>
      <c r="H42" s="809" t="s">
        <v>488</v>
      </c>
      <c r="I42" s="809"/>
      <c r="M42" s="739"/>
      <c r="N42" s="739"/>
      <c r="O42" s="739"/>
      <c r="P42" s="739"/>
      <c r="Q42" s="739"/>
      <c r="R42" s="739"/>
    </row>
    <row r="43" spans="1:28" ht="15.75" customHeight="1" x14ac:dyDescent="0.25">
      <c r="A43" s="801" t="s">
        <v>487</v>
      </c>
      <c r="B43" s="762"/>
      <c r="C43" s="800">
        <f>B41*D43</f>
        <v>144.4</v>
      </c>
      <c r="D43" s="806">
        <f>PaceCalMaxHR!I13</f>
        <v>0.76</v>
      </c>
      <c r="E43" s="798">
        <f>B41*F43</f>
        <v>133</v>
      </c>
      <c r="F43" s="805">
        <f>PaceCalHHR!I13</f>
        <v>0.7</v>
      </c>
      <c r="G43" s="803" t="s">
        <v>486</v>
      </c>
      <c r="H43" s="803">
        <f>PaceCalMaxHR!B13</f>
        <v>5.769227651709655E-3</v>
      </c>
      <c r="I43" s="803"/>
      <c r="M43" s="739"/>
      <c r="N43" s="739"/>
      <c r="O43" s="739"/>
      <c r="P43" s="739"/>
      <c r="Q43" s="739"/>
      <c r="R43" s="739"/>
    </row>
    <row r="44" spans="1:28" ht="15.75" customHeight="1" x14ac:dyDescent="0.25">
      <c r="A44" s="801" t="s">
        <v>485</v>
      </c>
      <c r="B44" s="762"/>
      <c r="C44" s="800">
        <f>B41*D44</f>
        <v>153.9</v>
      </c>
      <c r="D44" s="808">
        <f>PaceCalMaxHR!I12</f>
        <v>0.81</v>
      </c>
      <c r="E44" s="798">
        <f>B41*F44</f>
        <v>142.5</v>
      </c>
      <c r="F44" s="805">
        <f>PaceCalHHR!I12</f>
        <v>0.75</v>
      </c>
      <c r="G44" s="803">
        <f>PaceCalMaxHR!C12</f>
        <v>5.5473342804900523E-3</v>
      </c>
      <c r="H44" s="803">
        <f>PaceCalMaxHR!B12</f>
        <v>5.1035475380508477E-3</v>
      </c>
      <c r="I44" s="807" t="s">
        <v>484</v>
      </c>
      <c r="M44" s="739"/>
      <c r="N44" s="739"/>
      <c r="O44" s="739"/>
      <c r="P44" s="739"/>
      <c r="Q44" s="739"/>
      <c r="R44" s="739"/>
    </row>
    <row r="45" spans="1:28" ht="15.75" customHeight="1" x14ac:dyDescent="0.25">
      <c r="A45" s="801" t="s">
        <v>483</v>
      </c>
      <c r="B45" s="762"/>
      <c r="C45" s="800">
        <f>B41*D45</f>
        <v>159.6</v>
      </c>
      <c r="D45" s="799">
        <f>PaceCalMaxHR!I11</f>
        <v>0.84</v>
      </c>
      <c r="E45" s="798">
        <f>B41*F45</f>
        <v>148.20000000000002</v>
      </c>
      <c r="F45" s="797">
        <f>PaceCalHHR!I11</f>
        <v>0.78</v>
      </c>
      <c r="G45" s="803">
        <f>PaceCalMaxHR!C11</f>
        <v>5.3254409092704505E-3</v>
      </c>
      <c r="H45" s="803">
        <f>PaceCalMaxHR!B11</f>
        <v>4.8816541668312468E-3</v>
      </c>
      <c r="I45" s="807" t="s">
        <v>481</v>
      </c>
      <c r="M45" s="739"/>
      <c r="N45" s="739"/>
      <c r="O45" s="739"/>
      <c r="P45" s="739"/>
      <c r="Q45" s="739"/>
      <c r="R45" s="739"/>
    </row>
    <row r="46" spans="1:28" ht="15.75" customHeight="1" x14ac:dyDescent="0.25">
      <c r="A46" s="801" t="s">
        <v>482</v>
      </c>
      <c r="B46" s="762"/>
      <c r="C46" s="800">
        <f>B41*D46</f>
        <v>159.6</v>
      </c>
      <c r="D46" s="799">
        <f>PaceCalMaxHR!I11</f>
        <v>0.84</v>
      </c>
      <c r="E46" s="798">
        <f>B41*F46</f>
        <v>148.20000000000002</v>
      </c>
      <c r="F46" s="797">
        <f>PaceCalHHR!I11</f>
        <v>0.78</v>
      </c>
      <c r="G46" s="803">
        <f>PaceCalMaxHR!C11</f>
        <v>5.3254409092704505E-3</v>
      </c>
      <c r="H46" s="803">
        <f>PaceCalMaxHR!B11</f>
        <v>4.8816541668312468E-3</v>
      </c>
      <c r="I46" s="807" t="s">
        <v>481</v>
      </c>
      <c r="K46" s="740"/>
      <c r="L46" s="740"/>
      <c r="M46" s="739"/>
      <c r="N46" s="739"/>
      <c r="O46" s="739"/>
      <c r="P46" s="739"/>
      <c r="Q46" s="739"/>
      <c r="R46" s="739"/>
    </row>
    <row r="47" spans="1:28" ht="15.75" customHeight="1" x14ac:dyDescent="0.25">
      <c r="A47" s="801" t="s">
        <v>480</v>
      </c>
      <c r="B47" s="762"/>
      <c r="C47" s="800">
        <f>B41*D47</f>
        <v>172.9</v>
      </c>
      <c r="D47" s="806">
        <f>PaceCalMaxHR!I10</f>
        <v>0.91</v>
      </c>
      <c r="E47" s="798">
        <f>B41*F47</f>
        <v>167.2</v>
      </c>
      <c r="F47" s="805">
        <f>PaceCalHHR!I10</f>
        <v>0.88</v>
      </c>
      <c r="G47" s="804">
        <f>PaceCalMaxHR!C10</f>
        <v>4.2626382819004249E-3</v>
      </c>
      <c r="H47" s="803">
        <f>PaceCalMaxHR!B10</f>
        <v>4.1762846962591178E-3</v>
      </c>
      <c r="I47" s="802" t="s">
        <v>479</v>
      </c>
      <c r="K47" s="740"/>
      <c r="L47" s="740"/>
      <c r="M47" s="739"/>
      <c r="N47" s="739"/>
      <c r="O47" s="739"/>
      <c r="P47" s="739"/>
      <c r="Q47" s="739"/>
      <c r="R47" s="739"/>
    </row>
    <row r="48" spans="1:28" ht="15.75" customHeight="1" x14ac:dyDescent="0.25">
      <c r="A48" s="801" t="s">
        <v>478</v>
      </c>
      <c r="B48" s="762"/>
      <c r="C48" s="800">
        <f>B41*D48</f>
        <v>180.5</v>
      </c>
      <c r="D48" s="799">
        <f>PaceCalMaxHR!I9</f>
        <v>0.95</v>
      </c>
      <c r="E48" s="798">
        <f>B41*F48</f>
        <v>178.6</v>
      </c>
      <c r="F48" s="797">
        <f>PaceCalHHR!I9</f>
        <v>0.94</v>
      </c>
      <c r="G48" s="796">
        <f>PaceCalMaxHR!B9</f>
        <v>3.9098745353162755E-3</v>
      </c>
      <c r="H48" s="796">
        <f>PaceCalMaxHR!B9</f>
        <v>3.9098745353162755E-3</v>
      </c>
      <c r="I48" s="897" t="s">
        <v>477</v>
      </c>
      <c r="K48" s="740"/>
      <c r="L48" s="740"/>
      <c r="M48" s="740"/>
      <c r="N48" s="739"/>
      <c r="O48" s="739"/>
      <c r="P48" s="739"/>
      <c r="Q48" s="739"/>
      <c r="R48" s="739"/>
      <c r="S48" s="739"/>
      <c r="T48" s="739"/>
      <c r="U48" s="739"/>
      <c r="V48" s="739"/>
      <c r="W48" s="739"/>
      <c r="X48" s="739"/>
      <c r="Y48" s="739"/>
      <c r="Z48" s="739"/>
      <c r="AA48" s="739"/>
      <c r="AB48" s="739"/>
    </row>
    <row r="49" spans="1:28" ht="15.75" customHeight="1" x14ac:dyDescent="0.25">
      <c r="A49" s="801" t="s">
        <v>476</v>
      </c>
      <c r="B49" s="762"/>
      <c r="C49" s="800">
        <f>B41*D49</f>
        <v>167.2</v>
      </c>
      <c r="D49" s="799">
        <f>PaceCalMaxHR!I8</f>
        <v>0.88</v>
      </c>
      <c r="E49" s="798">
        <f>B41*F49</f>
        <v>159.6</v>
      </c>
      <c r="F49" s="797">
        <f>PaceCalHHR!I8</f>
        <v>0.84</v>
      </c>
      <c r="G49" s="796">
        <f>PaceCalMaxHR!B8</f>
        <v>4.4378674243920422E-3</v>
      </c>
      <c r="H49" s="796">
        <f>PaceCalMaxHR!B8</f>
        <v>4.4378674243920422E-3</v>
      </c>
      <c r="I49" s="897" t="s">
        <v>455</v>
      </c>
      <c r="K49" s="740"/>
      <c r="L49" s="740"/>
      <c r="M49" s="740"/>
      <c r="N49" s="739"/>
      <c r="O49" s="739"/>
      <c r="P49" s="739"/>
      <c r="Q49" s="739"/>
      <c r="R49" s="739"/>
      <c r="S49" s="739"/>
      <c r="T49" s="739"/>
      <c r="U49" s="739"/>
      <c r="V49" s="739"/>
      <c r="W49" s="739"/>
      <c r="X49" s="739"/>
      <c r="Y49" s="739"/>
      <c r="Z49" s="739"/>
      <c r="AA49" s="739"/>
      <c r="AB49" s="739"/>
    </row>
    <row r="50" spans="1:28" ht="15.75" customHeight="1" thickBot="1" x14ac:dyDescent="0.3">
      <c r="A50" s="795" t="s">
        <v>475</v>
      </c>
      <c r="B50" s="794"/>
      <c r="C50" s="793"/>
      <c r="D50" s="792"/>
      <c r="E50" s="791"/>
      <c r="F50" s="790"/>
      <c r="G50" s="789">
        <f>PaceCalMaxHR!B14</f>
        <v>4.0759103322518097E-3</v>
      </c>
      <c r="H50" s="789">
        <f>PaceCalMaxHR!B14</f>
        <v>4.0759103322518097E-3</v>
      </c>
      <c r="I50" s="898" t="s">
        <v>474</v>
      </c>
      <c r="K50" s="740"/>
      <c r="L50" s="740"/>
      <c r="M50" s="740"/>
      <c r="N50" s="739"/>
      <c r="O50" s="739"/>
      <c r="P50" s="739"/>
      <c r="Q50" s="739"/>
      <c r="R50" s="739"/>
      <c r="S50" s="739"/>
      <c r="T50" s="739"/>
      <c r="U50" s="739"/>
      <c r="V50" s="739"/>
      <c r="W50" s="739"/>
      <c r="X50" s="739"/>
      <c r="Y50" s="739"/>
      <c r="Z50" s="739"/>
      <c r="AA50" s="739"/>
      <c r="AB50" s="739"/>
    </row>
    <row r="51" spans="1:28" ht="15.75" customHeight="1" x14ac:dyDescent="0.25">
      <c r="B51" s="739"/>
      <c r="C51" s="739"/>
      <c r="D51" s="739"/>
      <c r="E51" s="739"/>
      <c r="F51" s="739"/>
      <c r="K51" s="740"/>
      <c r="L51" s="740"/>
      <c r="M51" s="740"/>
      <c r="N51" s="739"/>
      <c r="O51" s="739"/>
      <c r="P51" s="739"/>
      <c r="Q51" s="739"/>
      <c r="R51" s="739"/>
      <c r="S51" s="739"/>
      <c r="T51" s="739"/>
      <c r="U51" s="739"/>
      <c r="V51" s="739"/>
      <c r="W51" s="739"/>
      <c r="X51" s="739"/>
      <c r="Y51" s="739"/>
      <c r="Z51" s="739"/>
      <c r="AA51" s="739"/>
      <c r="AB51" s="739"/>
    </row>
    <row r="52" spans="1:28" ht="15.75" customHeight="1" thickBot="1" x14ac:dyDescent="0.3">
      <c r="B52" s="739"/>
      <c r="C52" s="739"/>
      <c r="D52" s="739"/>
      <c r="E52" s="739"/>
      <c r="F52" s="739"/>
      <c r="G52" s="739"/>
      <c r="H52" s="739"/>
      <c r="I52" s="739"/>
      <c r="J52" s="740"/>
      <c r="K52" s="740"/>
      <c r="L52" s="740"/>
      <c r="M52" s="739"/>
      <c r="N52" s="739"/>
      <c r="O52" s="739"/>
      <c r="P52" s="739"/>
      <c r="Q52" s="739"/>
      <c r="R52" s="739"/>
      <c r="S52" s="739"/>
      <c r="T52" s="739"/>
      <c r="U52" s="739"/>
      <c r="V52" s="739"/>
      <c r="W52" s="739"/>
      <c r="X52" s="739"/>
      <c r="Y52" s="739"/>
      <c r="Z52" s="739"/>
      <c r="AA52" s="739"/>
    </row>
    <row r="53" spans="1:28" ht="15.75" customHeight="1" thickBot="1" x14ac:dyDescent="0.3">
      <c r="B53" s="788" t="s">
        <v>473</v>
      </c>
      <c r="C53" s="787"/>
      <c r="D53" s="786"/>
      <c r="E53" s="785"/>
      <c r="G53" s="784" t="s">
        <v>472</v>
      </c>
      <c r="H53" s="739"/>
      <c r="I53" s="739"/>
      <c r="J53" s="740"/>
      <c r="K53" s="740"/>
      <c r="L53" s="740"/>
      <c r="M53" s="739"/>
      <c r="N53" s="739"/>
      <c r="O53" s="739"/>
      <c r="P53" s="739"/>
      <c r="Q53" s="739"/>
      <c r="R53" s="739"/>
      <c r="S53" s="739"/>
      <c r="T53" s="739"/>
      <c r="U53" s="739"/>
      <c r="V53" s="739"/>
      <c r="W53" s="739"/>
      <c r="X53" s="739"/>
      <c r="Y53" s="739"/>
      <c r="Z53" s="739"/>
      <c r="AA53" s="739"/>
    </row>
    <row r="54" spans="1:28" ht="107.25" customHeight="1" thickBot="1" x14ac:dyDescent="0.3">
      <c r="B54" s="933" t="s">
        <v>471</v>
      </c>
      <c r="C54" s="934"/>
      <c r="D54" s="934"/>
      <c r="E54" s="935"/>
      <c r="G54" s="783" t="s">
        <v>470</v>
      </c>
      <c r="H54" s="782"/>
      <c r="I54" s="782"/>
      <c r="J54" s="782"/>
      <c r="K54" s="740"/>
      <c r="L54" s="740"/>
      <c r="M54" s="739"/>
      <c r="N54" s="739"/>
      <c r="O54" s="739"/>
      <c r="P54" s="739"/>
      <c r="Q54" s="739"/>
      <c r="R54" s="739"/>
      <c r="S54" s="739"/>
      <c r="T54" s="739"/>
      <c r="U54" s="739"/>
      <c r="V54" s="739"/>
      <c r="W54" s="739"/>
      <c r="X54" s="739"/>
      <c r="Y54" s="739"/>
      <c r="Z54" s="739"/>
      <c r="AA54" s="739"/>
    </row>
    <row r="55" spans="1:28" ht="15.75" customHeight="1" x14ac:dyDescent="0.25">
      <c r="C55" s="739"/>
      <c r="D55" s="739"/>
      <c r="E55" s="739"/>
      <c r="P55" s="739"/>
      <c r="Q55" s="739"/>
      <c r="R55" s="739"/>
      <c r="S55" s="739"/>
      <c r="T55" s="739"/>
      <c r="U55" s="739"/>
      <c r="V55" s="739"/>
      <c r="W55" s="739"/>
      <c r="X55" s="739"/>
      <c r="Y55" s="739"/>
      <c r="Z55" s="739"/>
      <c r="AA55" s="739"/>
    </row>
    <row r="56" spans="1:28" ht="26.25" customHeight="1" x14ac:dyDescent="0.25">
      <c r="B56" s="781" t="s">
        <v>469</v>
      </c>
      <c r="C56" s="739"/>
      <c r="D56" s="739"/>
      <c r="E56" s="739"/>
      <c r="P56" s="739"/>
      <c r="Q56" s="739"/>
      <c r="R56" s="739"/>
      <c r="S56" s="739"/>
      <c r="T56" s="739"/>
      <c r="U56" s="739"/>
      <c r="V56" s="739"/>
      <c r="W56" s="739"/>
      <c r="X56" s="739"/>
      <c r="Y56" s="739"/>
      <c r="Z56" s="739"/>
      <c r="AA56" s="739"/>
    </row>
    <row r="57" spans="1:28" ht="15.75" customHeight="1" x14ac:dyDescent="0.25">
      <c r="B57" s="781" t="s">
        <v>468</v>
      </c>
      <c r="C57" s="739"/>
      <c r="D57" s="739"/>
      <c r="E57" s="739"/>
      <c r="P57" s="739"/>
      <c r="Q57" s="739"/>
      <c r="R57" s="739"/>
      <c r="S57" s="739"/>
      <c r="T57" s="739"/>
      <c r="U57" s="739"/>
      <c r="V57" s="739"/>
      <c r="W57" s="739"/>
      <c r="X57" s="739"/>
      <c r="Y57" s="739"/>
      <c r="Z57" s="739"/>
      <c r="AA57" s="739"/>
    </row>
    <row r="58" spans="1:28" ht="15.75" customHeight="1" x14ac:dyDescent="0.25">
      <c r="B58" s="781" t="s">
        <v>467</v>
      </c>
      <c r="C58" s="739"/>
      <c r="D58" s="739"/>
      <c r="E58" s="739"/>
      <c r="P58" s="739"/>
      <c r="Q58" s="739"/>
      <c r="R58" s="739"/>
      <c r="S58" s="739"/>
      <c r="T58" s="739"/>
      <c r="U58" s="739"/>
      <c r="V58" s="739"/>
      <c r="W58" s="739"/>
      <c r="X58" s="739"/>
      <c r="Y58" s="739"/>
      <c r="Z58" s="739"/>
      <c r="AA58" s="739"/>
    </row>
    <row r="59" spans="1:28" ht="15.75" customHeight="1" x14ac:dyDescent="0.25">
      <c r="B59" s="781" t="s">
        <v>466</v>
      </c>
      <c r="C59" s="739"/>
      <c r="D59" s="739"/>
      <c r="E59" s="739"/>
      <c r="P59" s="739"/>
      <c r="Q59" s="739"/>
      <c r="R59" s="739"/>
      <c r="S59" s="739"/>
      <c r="T59" s="739"/>
      <c r="U59" s="739"/>
      <c r="V59" s="739"/>
      <c r="W59" s="739"/>
      <c r="X59" s="739"/>
      <c r="Y59" s="739"/>
      <c r="Z59" s="739"/>
      <c r="AA59" s="739"/>
    </row>
    <row r="60" spans="1:28" ht="15.75" customHeight="1" x14ac:dyDescent="0.25">
      <c r="B60" s="781"/>
      <c r="C60" s="739"/>
      <c r="D60" s="739"/>
      <c r="E60" s="739"/>
      <c r="P60" s="739"/>
      <c r="Q60" s="739"/>
      <c r="R60" s="739"/>
      <c r="S60" s="739"/>
      <c r="T60" s="739"/>
      <c r="U60" s="739"/>
      <c r="V60" s="739"/>
      <c r="W60" s="739"/>
      <c r="X60" s="739"/>
      <c r="Y60" s="739"/>
      <c r="Z60" s="739"/>
      <c r="AA60" s="739"/>
    </row>
    <row r="61" spans="1:28" ht="15.75" customHeight="1" x14ac:dyDescent="0.25">
      <c r="B61" s="781" t="s">
        <v>465</v>
      </c>
      <c r="C61" s="739"/>
      <c r="D61" s="739"/>
      <c r="E61" s="739"/>
      <c r="P61" s="739"/>
      <c r="Q61" s="739"/>
      <c r="R61" s="739"/>
      <c r="S61" s="739"/>
      <c r="T61" s="739"/>
      <c r="U61" s="739"/>
      <c r="V61" s="739"/>
      <c r="W61" s="739"/>
      <c r="X61" s="739"/>
      <c r="Y61" s="739"/>
      <c r="Z61" s="739"/>
      <c r="AA61" s="739"/>
    </row>
    <row r="62" spans="1:28" ht="15.75" customHeight="1" x14ac:dyDescent="0.25">
      <c r="B62" s="781" t="s">
        <v>464</v>
      </c>
      <c r="C62" s="739"/>
      <c r="D62" s="739"/>
      <c r="E62" s="739"/>
      <c r="F62" s="739"/>
      <c r="G62" s="739"/>
      <c r="H62" s="739"/>
      <c r="I62" s="739"/>
      <c r="J62" s="740"/>
      <c r="K62" s="740"/>
      <c r="L62" s="740"/>
      <c r="M62" s="739"/>
      <c r="N62" s="739"/>
      <c r="O62" s="739"/>
      <c r="P62" s="739"/>
      <c r="Q62" s="739"/>
      <c r="R62" s="739"/>
      <c r="S62" s="739"/>
      <c r="T62" s="739"/>
      <c r="U62" s="739"/>
      <c r="V62" s="739"/>
      <c r="W62" s="739"/>
      <c r="X62" s="739"/>
      <c r="Y62" s="739"/>
      <c r="Z62" s="739"/>
      <c r="AA62" s="739"/>
    </row>
    <row r="63" spans="1:28" ht="15.75" customHeight="1" x14ac:dyDescent="0.25">
      <c r="B63" s="781" t="s">
        <v>463</v>
      </c>
      <c r="C63" s="739"/>
      <c r="D63" s="739"/>
      <c r="E63" s="739"/>
      <c r="F63" s="739"/>
      <c r="G63" s="739"/>
      <c r="H63" s="739"/>
      <c r="I63" s="739"/>
      <c r="J63" s="740"/>
      <c r="K63" s="740"/>
      <c r="L63" s="740"/>
      <c r="M63" s="739"/>
      <c r="N63" s="739"/>
      <c r="O63" s="739"/>
      <c r="P63" s="739"/>
      <c r="Q63" s="739"/>
      <c r="R63" s="739"/>
      <c r="S63" s="739"/>
      <c r="T63" s="739"/>
      <c r="U63" s="739"/>
      <c r="V63" s="739"/>
      <c r="W63" s="739"/>
      <c r="X63" s="739"/>
      <c r="Y63" s="739"/>
      <c r="Z63" s="739"/>
      <c r="AA63" s="739"/>
    </row>
    <row r="64" spans="1:28" ht="15.75" customHeight="1" x14ac:dyDescent="0.25">
      <c r="B64" s="781" t="s">
        <v>462</v>
      </c>
      <c r="C64" s="739"/>
      <c r="D64" s="739"/>
      <c r="E64" s="739"/>
      <c r="F64" s="739"/>
      <c r="G64" s="739"/>
      <c r="H64" s="739"/>
      <c r="I64" s="739"/>
      <c r="J64" s="740"/>
      <c r="K64" s="740"/>
      <c r="L64" s="740"/>
      <c r="M64" s="739"/>
      <c r="N64" s="739"/>
      <c r="O64" s="739"/>
      <c r="P64" s="739"/>
      <c r="Q64" s="739"/>
      <c r="R64" s="739"/>
      <c r="S64" s="739"/>
      <c r="T64" s="739"/>
      <c r="U64" s="739"/>
      <c r="V64" s="739"/>
      <c r="W64" s="739"/>
      <c r="X64" s="739"/>
      <c r="Y64" s="739"/>
      <c r="Z64" s="739"/>
      <c r="AA64" s="739"/>
    </row>
    <row r="65" spans="2:27" ht="15.75" customHeight="1" x14ac:dyDescent="0.25">
      <c r="B65" s="781"/>
      <c r="C65" s="739"/>
      <c r="D65" s="739"/>
      <c r="E65" s="739"/>
      <c r="F65" s="739"/>
      <c r="G65" s="739"/>
      <c r="H65" s="739"/>
      <c r="I65" s="739"/>
      <c r="J65" s="740"/>
      <c r="K65" s="740"/>
      <c r="L65" s="740"/>
      <c r="M65" s="739"/>
      <c r="N65" s="739"/>
      <c r="O65" s="739"/>
      <c r="P65" s="739"/>
      <c r="Q65" s="739"/>
      <c r="R65" s="739"/>
      <c r="S65" s="739"/>
      <c r="T65" s="739"/>
      <c r="U65" s="739"/>
      <c r="V65" s="739"/>
      <c r="W65" s="739"/>
      <c r="X65" s="739"/>
      <c r="Y65" s="739"/>
      <c r="Z65" s="739"/>
      <c r="AA65" s="739"/>
    </row>
    <row r="66" spans="2:27" ht="15.75" customHeight="1" x14ac:dyDescent="0.25">
      <c r="B66" s="781" t="s">
        <v>461</v>
      </c>
      <c r="C66" s="739"/>
      <c r="D66" s="739"/>
      <c r="E66" s="739"/>
      <c r="F66" s="739"/>
      <c r="G66" s="739"/>
      <c r="H66" s="739"/>
      <c r="I66" s="739"/>
      <c r="J66" s="740"/>
      <c r="K66" s="740"/>
      <c r="L66" s="740"/>
      <c r="M66" s="739"/>
      <c r="N66" s="739"/>
      <c r="O66" s="739"/>
      <c r="P66" s="739"/>
      <c r="Q66" s="739"/>
      <c r="R66" s="739"/>
      <c r="S66" s="739"/>
      <c r="T66" s="739"/>
      <c r="U66" s="739"/>
      <c r="V66" s="739"/>
      <c r="W66" s="739"/>
      <c r="X66" s="739"/>
      <c r="Y66" s="739"/>
      <c r="Z66" s="739"/>
      <c r="AA66" s="739"/>
    </row>
    <row r="67" spans="2:27" ht="15.75" customHeight="1" x14ac:dyDescent="0.25">
      <c r="B67" s="781" t="s">
        <v>460</v>
      </c>
      <c r="C67" s="739"/>
      <c r="D67" s="739"/>
      <c r="E67" s="739"/>
      <c r="F67" s="739"/>
      <c r="G67" s="739"/>
      <c r="H67" s="739"/>
      <c r="I67" s="739"/>
      <c r="J67" s="740"/>
      <c r="K67" s="740"/>
      <c r="L67" s="740"/>
      <c r="M67" s="739"/>
      <c r="N67" s="739"/>
      <c r="O67" s="739"/>
      <c r="P67" s="739"/>
      <c r="Q67" s="739"/>
      <c r="R67" s="739"/>
      <c r="S67" s="739"/>
      <c r="T67" s="739"/>
      <c r="U67" s="739"/>
      <c r="V67" s="739"/>
      <c r="W67" s="739"/>
      <c r="X67" s="739"/>
      <c r="Y67" s="739"/>
      <c r="Z67" s="739"/>
      <c r="AA67" s="739"/>
    </row>
    <row r="68" spans="2:27" ht="15.75" customHeight="1" x14ac:dyDescent="0.25">
      <c r="B68" s="781" t="s">
        <v>459</v>
      </c>
      <c r="C68" s="739"/>
      <c r="D68" s="739"/>
      <c r="E68" s="739"/>
      <c r="F68" s="739"/>
      <c r="G68" s="739"/>
      <c r="H68" s="739"/>
      <c r="I68" s="739"/>
      <c r="J68" s="740"/>
      <c r="K68" s="740"/>
      <c r="L68" s="740"/>
      <c r="M68" s="739"/>
      <c r="N68" s="739"/>
      <c r="O68" s="739"/>
      <c r="P68" s="739"/>
      <c r="Q68" s="739"/>
      <c r="R68" s="739"/>
      <c r="S68" s="739"/>
      <c r="T68" s="739"/>
      <c r="U68" s="739"/>
      <c r="V68" s="739"/>
      <c r="W68" s="739"/>
      <c r="X68" s="739"/>
      <c r="Y68" s="739"/>
      <c r="Z68" s="739"/>
      <c r="AA68" s="739"/>
    </row>
    <row r="69" spans="2:27" ht="15.75" customHeight="1" x14ac:dyDescent="0.25">
      <c r="B69" s="739"/>
      <c r="C69" s="739"/>
      <c r="D69" s="739"/>
      <c r="E69" s="739"/>
      <c r="F69" s="739"/>
      <c r="G69" s="739"/>
      <c r="H69" s="739"/>
      <c r="I69" s="739"/>
      <c r="J69" s="740"/>
      <c r="K69" s="740"/>
      <c r="L69" s="740"/>
      <c r="M69" s="739"/>
      <c r="N69" s="739"/>
      <c r="O69" s="739"/>
      <c r="P69" s="739"/>
      <c r="Q69" s="739"/>
      <c r="R69" s="739"/>
      <c r="S69" s="739"/>
      <c r="T69" s="739"/>
      <c r="U69" s="739"/>
      <c r="V69" s="739"/>
      <c r="W69" s="739"/>
      <c r="X69" s="739"/>
      <c r="Y69" s="739"/>
      <c r="Z69" s="739"/>
      <c r="AA69" s="739"/>
    </row>
    <row r="70" spans="2:27" ht="15.75" customHeight="1" x14ac:dyDescent="0.25">
      <c r="B70" s="739"/>
      <c r="C70" s="739"/>
      <c r="D70" s="739"/>
      <c r="E70" s="739"/>
      <c r="P70" s="739"/>
      <c r="Q70" s="739"/>
      <c r="R70" s="739"/>
      <c r="S70" s="739"/>
      <c r="T70" s="739"/>
      <c r="U70" s="739"/>
      <c r="V70" s="739"/>
      <c r="W70" s="739"/>
      <c r="X70" s="739"/>
      <c r="Y70" s="739"/>
      <c r="Z70" s="739"/>
      <c r="AA70" s="739"/>
    </row>
    <row r="71" spans="2:27" ht="27.75" hidden="1" customHeight="1" x14ac:dyDescent="0.25">
      <c r="B71" s="780"/>
      <c r="C71" s="779"/>
      <c r="D71" s="779"/>
      <c r="E71" s="779"/>
      <c r="F71" s="778" t="s">
        <v>458</v>
      </c>
      <c r="G71" s="778" t="s">
        <v>457</v>
      </c>
      <c r="H71" s="778" t="str">
        <f>F71</f>
        <v>MLR/LR</v>
      </c>
      <c r="I71" s="778" t="s">
        <v>457</v>
      </c>
      <c r="J71" s="778"/>
      <c r="K71" s="777"/>
      <c r="P71" s="739"/>
      <c r="Q71" s="739"/>
      <c r="R71" s="739"/>
      <c r="S71" s="739"/>
      <c r="T71" s="739"/>
      <c r="U71" s="739"/>
      <c r="V71" s="739"/>
      <c r="W71" s="739"/>
      <c r="X71" s="739"/>
      <c r="Y71" s="739"/>
      <c r="Z71" s="739"/>
      <c r="AA71" s="739"/>
    </row>
    <row r="72" spans="2:27" ht="15.75" hidden="1" customHeight="1" x14ac:dyDescent="0.25">
      <c r="B72" s="776" t="s">
        <v>456</v>
      </c>
      <c r="C72" s="775"/>
      <c r="D72" s="774" t="s">
        <v>455</v>
      </c>
      <c r="E72" s="774"/>
      <c r="F72" s="774" t="s">
        <v>454</v>
      </c>
      <c r="G72" s="774" t="s">
        <v>453</v>
      </c>
      <c r="H72" s="774" t="s">
        <v>452</v>
      </c>
      <c r="I72" s="774" t="s">
        <v>451</v>
      </c>
      <c r="J72" s="774" t="s">
        <v>450</v>
      </c>
      <c r="K72" s="773" t="s">
        <v>449</v>
      </c>
      <c r="P72" s="739"/>
      <c r="Q72" s="739"/>
      <c r="R72" s="739"/>
      <c r="S72" s="739"/>
      <c r="T72" s="739"/>
      <c r="U72" s="739"/>
      <c r="V72" s="739"/>
      <c r="W72" s="739"/>
      <c r="X72" s="739"/>
      <c r="Y72" s="739"/>
      <c r="Z72" s="739"/>
      <c r="AA72" s="739"/>
    </row>
    <row r="73" spans="2:27" ht="15.75" hidden="1" customHeight="1" x14ac:dyDescent="0.25">
      <c r="B73" s="772"/>
      <c r="C73" s="771" t="s">
        <v>448</v>
      </c>
      <c r="D73" s="770">
        <v>0.28541666666666665</v>
      </c>
      <c r="E73" s="768">
        <f>6*60+51</f>
        <v>411</v>
      </c>
      <c r="F73" s="768">
        <f>E73*1.1</f>
        <v>452.1</v>
      </c>
      <c r="G73" s="769">
        <f>E73*1.15</f>
        <v>472.65</v>
      </c>
      <c r="H73" s="768">
        <f>E73*1.2</f>
        <v>493.2</v>
      </c>
      <c r="I73" s="768">
        <f>E73*1.25</f>
        <v>513.75</v>
      </c>
      <c r="J73" s="768">
        <f>E73*0.9245742</f>
        <v>379.9999962</v>
      </c>
      <c r="K73" s="767">
        <f>0.85158*E73</f>
        <v>349.99937999999997</v>
      </c>
      <c r="P73" s="739"/>
      <c r="Q73" s="739"/>
      <c r="R73" s="739"/>
      <c r="S73" s="739"/>
      <c r="T73" s="739"/>
      <c r="U73" s="739"/>
      <c r="V73" s="739"/>
      <c r="W73" s="739"/>
      <c r="X73" s="739"/>
      <c r="Y73" s="739"/>
      <c r="Z73" s="739"/>
      <c r="AA73" s="739"/>
    </row>
    <row r="74" spans="2:27" ht="15.75" hidden="1" customHeight="1" x14ac:dyDescent="0.25">
      <c r="B74" s="766"/>
      <c r="C74" s="762" t="s">
        <v>447</v>
      </c>
      <c r="D74" s="765">
        <v>0.20208333333333331</v>
      </c>
      <c r="E74" s="764">
        <f>4*60+51</f>
        <v>291</v>
      </c>
      <c r="F74" s="764">
        <f>E74*1.1</f>
        <v>320.10000000000002</v>
      </c>
      <c r="G74" s="763">
        <f>E74*1.15</f>
        <v>334.65</v>
      </c>
      <c r="H74" s="762">
        <f>E74*1.2</f>
        <v>349.2</v>
      </c>
      <c r="I74" s="762">
        <f>E74*1.25</f>
        <v>363.75</v>
      </c>
      <c r="J74" s="762">
        <f>E74*0.9245742</f>
        <v>269.05109220000003</v>
      </c>
      <c r="K74" s="761">
        <f>0.85158*E74</f>
        <v>247.80977999999999</v>
      </c>
      <c r="P74" s="739"/>
      <c r="Q74" s="739"/>
      <c r="R74" s="739"/>
      <c r="S74" s="739"/>
      <c r="T74" s="739"/>
      <c r="U74" s="739"/>
      <c r="V74" s="739"/>
      <c r="W74" s="739"/>
      <c r="X74" s="739"/>
      <c r="Y74" s="739"/>
      <c r="Z74" s="739"/>
      <c r="AA74" s="739"/>
    </row>
    <row r="75" spans="2:27" ht="15.75" hidden="1" customHeight="1" x14ac:dyDescent="0.25">
      <c r="B75" s="760"/>
      <c r="C75" s="759" t="s">
        <v>446</v>
      </c>
      <c r="D75" s="758"/>
      <c r="E75" s="758"/>
      <c r="F75" s="757">
        <f>F74/86400</f>
        <v>3.7048611111111115E-3</v>
      </c>
      <c r="G75" s="757">
        <f t="shared" ref="G75:K75" si="18">G74/86400</f>
        <v>3.8732638888888888E-3</v>
      </c>
      <c r="H75" s="757">
        <f t="shared" si="18"/>
        <v>4.0416666666666665E-3</v>
      </c>
      <c r="I75" s="757">
        <f t="shared" si="18"/>
        <v>4.2100694444444442E-3</v>
      </c>
      <c r="J75" s="757">
        <f t="shared" si="18"/>
        <v>3.1140172708333338E-3</v>
      </c>
      <c r="K75" s="756">
        <f t="shared" si="18"/>
        <v>2.86816875E-3</v>
      </c>
      <c r="P75" s="739"/>
      <c r="Q75" s="739"/>
      <c r="R75" s="739"/>
      <c r="S75" s="739"/>
      <c r="T75" s="739"/>
      <c r="U75" s="739"/>
      <c r="V75" s="739"/>
      <c r="W75" s="739"/>
      <c r="X75" s="739"/>
      <c r="Y75" s="739"/>
      <c r="Z75" s="739"/>
      <c r="AA75" s="739"/>
    </row>
    <row r="76" spans="2:27" ht="15.75" hidden="1" customHeight="1" x14ac:dyDescent="0.25">
      <c r="B76" s="755">
        <f>F2</f>
        <v>0.1875</v>
      </c>
      <c r="C76" s="754" t="s">
        <v>447</v>
      </c>
      <c r="D76" s="753">
        <f>G49</f>
        <v>4.4378674243920422E-3</v>
      </c>
      <c r="E76" s="752">
        <f>D76*86400</f>
        <v>383.43174546747247</v>
      </c>
      <c r="F76" s="751">
        <f>E76*1.1</f>
        <v>421.77492001421973</v>
      </c>
      <c r="G76" s="750">
        <f>E76*1.15</f>
        <v>440.94650728759331</v>
      </c>
      <c r="H76" s="749">
        <f>E76*1.2</f>
        <v>460.11809456096694</v>
      </c>
      <c r="I76" s="749">
        <f>E76*1.25</f>
        <v>479.28968183434057</v>
      </c>
      <c r="J76" s="748">
        <f>E76*0.9245742</f>
        <v>354.51109932019199</v>
      </c>
      <c r="K76" s="747">
        <f>0.85158*E76</f>
        <v>326.52280580519022</v>
      </c>
      <c r="P76" s="739"/>
      <c r="Q76" s="739"/>
      <c r="R76" s="739"/>
      <c r="S76" s="739"/>
      <c r="T76" s="739"/>
      <c r="U76" s="739"/>
      <c r="V76" s="739"/>
      <c r="W76" s="739"/>
      <c r="X76" s="739"/>
      <c r="Y76" s="739"/>
      <c r="Z76" s="739"/>
      <c r="AA76" s="739"/>
    </row>
    <row r="77" spans="2:27" ht="15.75" hidden="1" customHeight="1" thickBot="1" x14ac:dyDescent="0.3">
      <c r="B77" s="746"/>
      <c r="C77" s="745" t="s">
        <v>446</v>
      </c>
      <c r="D77" s="744"/>
      <c r="E77" s="744"/>
      <c r="F77" s="743">
        <f>F76/86400</f>
        <v>4.8816541668312468E-3</v>
      </c>
      <c r="G77" s="743">
        <f t="shared" ref="G77:K77" si="19">G76/86400</f>
        <v>5.1035475380508486E-3</v>
      </c>
      <c r="H77" s="743">
        <f t="shared" si="19"/>
        <v>5.3254409092704505E-3</v>
      </c>
      <c r="I77" s="743">
        <f t="shared" si="19"/>
        <v>5.5473342804900532E-3</v>
      </c>
      <c r="J77" s="742">
        <f t="shared" si="19"/>
        <v>4.1031377236133331E-3</v>
      </c>
      <c r="K77" s="741">
        <f t="shared" si="19"/>
        <v>3.7791991412637759E-3</v>
      </c>
      <c r="L77" s="740"/>
      <c r="M77" s="739"/>
      <c r="N77" s="739"/>
      <c r="O77" s="739"/>
      <c r="P77" s="739"/>
      <c r="Q77" s="739"/>
      <c r="R77" s="739"/>
      <c r="S77" s="739"/>
      <c r="T77" s="739"/>
      <c r="U77" s="739"/>
      <c r="V77" s="739"/>
      <c r="W77" s="739"/>
      <c r="X77" s="739"/>
      <c r="Y77" s="739"/>
      <c r="Z77" s="739"/>
      <c r="AA77" s="739"/>
    </row>
    <row r="78" spans="2:27" ht="15.75" customHeight="1" x14ac:dyDescent="0.25">
      <c r="B78" s="739"/>
      <c r="C78" s="739"/>
      <c r="D78" s="739"/>
      <c r="E78" s="739"/>
      <c r="F78" s="739"/>
      <c r="G78" s="739"/>
      <c r="H78" s="739"/>
      <c r="I78" s="739"/>
      <c r="J78" s="740"/>
      <c r="K78" s="740"/>
      <c r="L78" s="740"/>
      <c r="M78" s="739"/>
      <c r="N78" s="739"/>
      <c r="O78" s="739"/>
      <c r="P78" s="739"/>
      <c r="Q78" s="739"/>
      <c r="R78" s="739"/>
      <c r="S78" s="739"/>
      <c r="T78" s="739"/>
      <c r="U78" s="739"/>
      <c r="V78" s="739"/>
      <c r="W78" s="739"/>
      <c r="X78" s="739"/>
      <c r="Y78" s="739"/>
      <c r="Z78" s="739"/>
      <c r="AA78" s="739"/>
    </row>
    <row r="79" spans="2:27" ht="15.75" customHeight="1" x14ac:dyDescent="0.25">
      <c r="B79" s="739"/>
      <c r="C79" s="739"/>
      <c r="D79" s="739"/>
      <c r="E79" s="739"/>
      <c r="F79" s="739"/>
      <c r="G79" s="739"/>
      <c r="H79" s="739"/>
      <c r="I79" s="739"/>
      <c r="J79" s="740"/>
      <c r="K79" s="740"/>
      <c r="L79" s="740"/>
      <c r="M79" s="739"/>
      <c r="N79" s="739"/>
      <c r="O79" s="739"/>
      <c r="P79" s="739"/>
      <c r="Q79" s="739"/>
      <c r="R79" s="739"/>
      <c r="S79" s="739"/>
      <c r="T79" s="739"/>
      <c r="U79" s="739"/>
      <c r="V79" s="739"/>
      <c r="W79" s="739"/>
      <c r="X79" s="739"/>
      <c r="Y79" s="739"/>
      <c r="Z79" s="739"/>
      <c r="AA79" s="739"/>
    </row>
    <row r="80" spans="2:27" ht="15.75" customHeight="1" x14ac:dyDescent="0.25">
      <c r="B80" s="739"/>
      <c r="C80" s="739"/>
      <c r="D80" s="739"/>
      <c r="E80" s="739"/>
      <c r="F80" s="739"/>
      <c r="G80" s="739"/>
      <c r="H80" s="739"/>
      <c r="I80" s="739"/>
      <c r="J80" s="740"/>
      <c r="K80" s="740"/>
      <c r="L80" s="740"/>
      <c r="M80" s="739"/>
      <c r="N80" s="739"/>
      <c r="O80" s="739"/>
      <c r="P80" s="739"/>
      <c r="Q80" s="739"/>
      <c r="R80" s="739"/>
      <c r="S80" s="739"/>
      <c r="T80" s="739"/>
      <c r="U80" s="739"/>
      <c r="V80" s="739"/>
      <c r="W80" s="739"/>
      <c r="X80" s="739"/>
      <c r="Y80" s="739"/>
      <c r="Z80" s="739"/>
      <c r="AA80" s="739"/>
    </row>
    <row r="81" spans="2:27" ht="15.75" customHeight="1" x14ac:dyDescent="0.25">
      <c r="B81" s="739"/>
      <c r="C81" s="739"/>
      <c r="D81" s="739"/>
      <c r="E81" s="739"/>
      <c r="F81" s="739"/>
      <c r="G81" s="739"/>
      <c r="H81" s="739"/>
      <c r="I81" s="739"/>
      <c r="J81" s="740"/>
      <c r="K81" s="740"/>
      <c r="L81" s="740"/>
      <c r="M81" s="739"/>
      <c r="N81" s="739"/>
      <c r="O81" s="739"/>
      <c r="P81" s="739"/>
      <c r="Q81" s="739"/>
      <c r="R81" s="739"/>
      <c r="S81" s="739"/>
      <c r="T81" s="739"/>
      <c r="U81" s="739"/>
      <c r="V81" s="739"/>
      <c r="W81" s="739"/>
      <c r="X81" s="739"/>
      <c r="Y81" s="739"/>
      <c r="Z81" s="739"/>
      <c r="AA81" s="739"/>
    </row>
    <row r="82" spans="2:27" ht="15.75" customHeight="1" x14ac:dyDescent="0.25">
      <c r="B82" s="739"/>
      <c r="C82" s="739"/>
      <c r="D82" s="739"/>
      <c r="E82" s="739"/>
      <c r="F82" s="739"/>
      <c r="G82" s="739"/>
      <c r="H82" s="739"/>
      <c r="I82" s="739"/>
      <c r="J82" s="740"/>
      <c r="K82" s="740"/>
      <c r="L82" s="740"/>
      <c r="M82" s="739"/>
      <c r="N82" s="739"/>
      <c r="O82" s="739"/>
      <c r="P82" s="739"/>
      <c r="Q82" s="739"/>
      <c r="R82" s="739"/>
      <c r="S82" s="739"/>
      <c r="T82" s="739"/>
      <c r="U82" s="739"/>
      <c r="V82" s="739"/>
      <c r="W82" s="739"/>
      <c r="X82" s="739"/>
      <c r="Y82" s="739"/>
      <c r="Z82" s="739"/>
      <c r="AA82" s="739"/>
    </row>
    <row r="83" spans="2:27" ht="15.75" customHeight="1" x14ac:dyDescent="0.25">
      <c r="B83" s="739"/>
      <c r="C83" s="739"/>
      <c r="D83" s="739"/>
      <c r="E83" s="739"/>
      <c r="F83" s="739"/>
      <c r="G83" s="739"/>
      <c r="H83" s="739"/>
      <c r="I83" s="739"/>
      <c r="J83" s="740"/>
      <c r="K83" s="740"/>
      <c r="L83" s="740"/>
      <c r="M83" s="739"/>
      <c r="N83" s="739"/>
      <c r="O83" s="739"/>
      <c r="P83" s="739"/>
      <c r="Q83" s="739"/>
      <c r="R83" s="739"/>
      <c r="S83" s="739"/>
      <c r="T83" s="739"/>
      <c r="U83" s="739"/>
      <c r="V83" s="739"/>
      <c r="W83" s="739"/>
      <c r="X83" s="739"/>
      <c r="Y83" s="739"/>
      <c r="Z83" s="739"/>
      <c r="AA83" s="739"/>
    </row>
    <row r="84" spans="2:27" ht="15.75" customHeight="1" x14ac:dyDescent="0.25">
      <c r="B84" s="739"/>
      <c r="C84" s="739"/>
      <c r="D84" s="739"/>
      <c r="E84" s="739"/>
      <c r="F84" s="739"/>
      <c r="G84" s="739"/>
      <c r="H84" s="739"/>
      <c r="I84" s="739"/>
      <c r="J84" s="740"/>
      <c r="K84" s="740"/>
      <c r="L84" s="740"/>
      <c r="M84" s="739"/>
      <c r="N84" s="739"/>
      <c r="O84" s="739"/>
      <c r="P84" s="739"/>
      <c r="Q84" s="739"/>
      <c r="R84" s="739"/>
      <c r="S84" s="739"/>
      <c r="T84" s="739"/>
      <c r="U84" s="739"/>
      <c r="V84" s="739"/>
      <c r="W84" s="739"/>
      <c r="X84" s="739"/>
      <c r="Y84" s="739"/>
      <c r="Z84" s="739"/>
      <c r="AA84" s="739"/>
    </row>
    <row r="85" spans="2:27" ht="15.75" customHeight="1" x14ac:dyDescent="0.25">
      <c r="B85" s="739"/>
      <c r="C85" s="739"/>
      <c r="D85" s="739"/>
      <c r="E85" s="739"/>
      <c r="F85" s="739"/>
      <c r="G85" s="739"/>
      <c r="H85" s="739"/>
      <c r="I85" s="739"/>
      <c r="J85" s="740"/>
      <c r="K85" s="740"/>
      <c r="L85" s="740"/>
      <c r="M85" s="739"/>
      <c r="N85" s="739"/>
      <c r="O85" s="739"/>
      <c r="P85" s="739"/>
      <c r="Q85" s="739"/>
      <c r="R85" s="739"/>
      <c r="S85" s="739"/>
      <c r="T85" s="739"/>
      <c r="U85" s="739"/>
      <c r="V85" s="739"/>
      <c r="W85" s="739"/>
      <c r="X85" s="739"/>
      <c r="Y85" s="739"/>
      <c r="Z85" s="739"/>
      <c r="AA85" s="739"/>
    </row>
    <row r="86" spans="2:27" ht="15.75" customHeight="1" x14ac:dyDescent="0.25">
      <c r="B86" s="739"/>
      <c r="C86" s="739"/>
      <c r="D86" s="739"/>
      <c r="E86" s="739"/>
      <c r="F86" s="739"/>
      <c r="G86" s="739"/>
      <c r="H86" s="739"/>
      <c r="I86" s="739"/>
      <c r="J86" s="740"/>
      <c r="K86" s="740"/>
      <c r="L86" s="740"/>
      <c r="M86" s="739"/>
      <c r="N86" s="739"/>
      <c r="O86" s="739"/>
      <c r="P86" s="739"/>
      <c r="Q86" s="739"/>
      <c r="R86" s="739"/>
      <c r="S86" s="739"/>
      <c r="T86" s="739"/>
      <c r="U86" s="739"/>
      <c r="V86" s="739"/>
      <c r="W86" s="739"/>
      <c r="X86" s="739"/>
      <c r="Y86" s="739"/>
      <c r="Z86" s="739"/>
      <c r="AA86" s="739"/>
    </row>
    <row r="87" spans="2:27" ht="15.75" customHeight="1" x14ac:dyDescent="0.25">
      <c r="B87" s="739"/>
      <c r="C87" s="739"/>
      <c r="D87" s="739"/>
      <c r="E87" s="739"/>
      <c r="F87" s="739"/>
      <c r="G87" s="739"/>
      <c r="H87" s="739"/>
      <c r="I87" s="739"/>
      <c r="J87" s="740"/>
      <c r="K87" s="740"/>
      <c r="L87" s="740"/>
      <c r="M87" s="739"/>
      <c r="N87" s="739"/>
      <c r="O87" s="739"/>
      <c r="P87" s="739"/>
      <c r="Q87" s="739"/>
      <c r="R87" s="739"/>
      <c r="S87" s="739"/>
      <c r="T87" s="739"/>
      <c r="U87" s="739"/>
      <c r="V87" s="739"/>
      <c r="W87" s="739"/>
      <c r="X87" s="739"/>
      <c r="Y87" s="739"/>
      <c r="Z87" s="739"/>
      <c r="AA87" s="739"/>
    </row>
    <row r="88" spans="2:27" ht="15.75" customHeight="1" x14ac:dyDescent="0.25">
      <c r="B88" s="739"/>
      <c r="C88" s="739"/>
      <c r="D88" s="739"/>
      <c r="E88" s="739"/>
      <c r="F88" s="739"/>
      <c r="G88" s="739"/>
      <c r="H88" s="739"/>
      <c r="I88" s="739"/>
      <c r="J88" s="740"/>
      <c r="K88" s="740"/>
      <c r="L88" s="740"/>
      <c r="M88" s="739"/>
      <c r="N88" s="739"/>
      <c r="O88" s="739"/>
      <c r="P88" s="739"/>
      <c r="Q88" s="739"/>
      <c r="R88" s="739"/>
      <c r="S88" s="739"/>
      <c r="T88" s="739"/>
      <c r="U88" s="739"/>
      <c r="V88" s="739"/>
      <c r="W88" s="739"/>
      <c r="X88" s="739"/>
      <c r="Y88" s="739"/>
      <c r="Z88" s="739"/>
      <c r="AA88" s="739"/>
    </row>
    <row r="89" spans="2:27" ht="15.75" customHeight="1" x14ac:dyDescent="0.25">
      <c r="B89" s="739"/>
      <c r="C89" s="739"/>
      <c r="D89" s="739"/>
      <c r="E89" s="739"/>
      <c r="F89" s="739"/>
      <c r="G89" s="739"/>
      <c r="H89" s="739"/>
      <c r="I89" s="739"/>
      <c r="J89" s="740"/>
      <c r="K89" s="740"/>
      <c r="L89" s="740"/>
      <c r="M89" s="739"/>
      <c r="N89" s="739"/>
      <c r="O89" s="739"/>
      <c r="P89" s="739"/>
      <c r="Q89" s="739"/>
      <c r="R89" s="739"/>
      <c r="S89" s="739"/>
      <c r="T89" s="739"/>
      <c r="U89" s="739"/>
      <c r="V89" s="739"/>
      <c r="W89" s="739"/>
      <c r="X89" s="739"/>
      <c r="Y89" s="739"/>
      <c r="Z89" s="739"/>
      <c r="AA89" s="739"/>
    </row>
    <row r="90" spans="2:27" ht="15.75" customHeight="1" x14ac:dyDescent="0.25">
      <c r="B90" s="739"/>
      <c r="C90" s="739"/>
      <c r="D90" s="739"/>
      <c r="E90" s="739"/>
      <c r="F90" s="739"/>
      <c r="G90" s="739"/>
      <c r="H90" s="739"/>
      <c r="I90" s="739"/>
      <c r="J90" s="740"/>
      <c r="K90" s="740"/>
      <c r="L90" s="740"/>
      <c r="M90" s="739"/>
      <c r="N90" s="739"/>
      <c r="O90" s="739"/>
      <c r="P90" s="739"/>
      <c r="Q90" s="739"/>
      <c r="R90" s="739"/>
      <c r="S90" s="739"/>
      <c r="T90" s="739"/>
      <c r="U90" s="739"/>
      <c r="V90" s="739"/>
      <c r="W90" s="739"/>
      <c r="X90" s="739"/>
      <c r="Y90" s="739"/>
      <c r="Z90" s="739"/>
      <c r="AA90" s="739"/>
    </row>
    <row r="91" spans="2:27" ht="15.75" customHeight="1" x14ac:dyDescent="0.25">
      <c r="B91" s="739"/>
      <c r="C91" s="739"/>
      <c r="D91" s="739"/>
      <c r="E91" s="739"/>
      <c r="F91" s="739"/>
      <c r="G91" s="739"/>
      <c r="H91" s="739"/>
      <c r="I91" s="739"/>
      <c r="J91" s="740"/>
      <c r="K91" s="740"/>
      <c r="L91" s="740"/>
      <c r="M91" s="739"/>
      <c r="N91" s="739"/>
      <c r="O91" s="739"/>
      <c r="P91" s="739"/>
      <c r="Q91" s="739"/>
      <c r="R91" s="739"/>
      <c r="S91" s="739"/>
      <c r="T91" s="739"/>
      <c r="U91" s="739"/>
      <c r="V91" s="739"/>
      <c r="W91" s="739"/>
      <c r="X91" s="739"/>
      <c r="Y91" s="739"/>
      <c r="Z91" s="739"/>
      <c r="AA91" s="739"/>
    </row>
    <row r="92" spans="2:27" ht="15.75" customHeight="1" x14ac:dyDescent="0.25">
      <c r="B92" s="739"/>
      <c r="C92" s="739"/>
      <c r="D92" s="739"/>
      <c r="E92" s="739"/>
      <c r="F92" s="739"/>
      <c r="G92" s="739"/>
      <c r="H92" s="739"/>
      <c r="I92" s="739"/>
      <c r="J92" s="740"/>
      <c r="K92" s="740"/>
      <c r="L92" s="740"/>
      <c r="M92" s="739"/>
      <c r="N92" s="739"/>
      <c r="O92" s="739"/>
      <c r="P92" s="739"/>
      <c r="Q92" s="739"/>
      <c r="R92" s="739"/>
      <c r="S92" s="739"/>
      <c r="T92" s="739"/>
      <c r="U92" s="739"/>
      <c r="V92" s="739"/>
      <c r="W92" s="739"/>
      <c r="X92" s="739"/>
      <c r="Y92" s="739"/>
      <c r="Z92" s="739"/>
      <c r="AA92" s="739"/>
    </row>
    <row r="93" spans="2:27" ht="15.75" customHeight="1" x14ac:dyDescent="0.25">
      <c r="B93" s="739"/>
      <c r="C93" s="739"/>
      <c r="D93" s="739"/>
      <c r="E93" s="739"/>
      <c r="F93" s="739"/>
      <c r="G93" s="739"/>
      <c r="H93" s="739"/>
      <c r="I93" s="739"/>
      <c r="J93" s="740"/>
      <c r="K93" s="740"/>
      <c r="L93" s="740"/>
      <c r="M93" s="739"/>
      <c r="N93" s="739"/>
      <c r="O93" s="739"/>
      <c r="P93" s="739"/>
      <c r="Q93" s="739"/>
      <c r="R93" s="739"/>
      <c r="S93" s="739"/>
      <c r="T93" s="739"/>
      <c r="U93" s="739"/>
      <c r="V93" s="739"/>
      <c r="W93" s="739"/>
      <c r="X93" s="739"/>
      <c r="Y93" s="739"/>
      <c r="Z93" s="739"/>
      <c r="AA93" s="739"/>
    </row>
    <row r="94" spans="2:27" ht="15.75" customHeight="1" x14ac:dyDescent="0.25">
      <c r="B94" s="739"/>
      <c r="C94" s="739"/>
      <c r="D94" s="739"/>
      <c r="E94" s="739"/>
      <c r="F94" s="739"/>
      <c r="G94" s="739"/>
      <c r="H94" s="739"/>
      <c r="I94" s="739"/>
      <c r="J94" s="740"/>
      <c r="K94" s="740"/>
      <c r="L94" s="740"/>
      <c r="M94" s="739"/>
      <c r="N94" s="739"/>
      <c r="O94" s="739"/>
      <c r="P94" s="739"/>
      <c r="Q94" s="739"/>
      <c r="R94" s="739"/>
      <c r="S94" s="739"/>
      <c r="T94" s="739"/>
      <c r="U94" s="739"/>
      <c r="V94" s="739"/>
      <c r="W94" s="739"/>
      <c r="X94" s="739"/>
      <c r="Y94" s="739"/>
      <c r="Z94" s="739"/>
      <c r="AA94" s="739"/>
    </row>
    <row r="95" spans="2:27" ht="15.75" customHeight="1" x14ac:dyDescent="0.25">
      <c r="B95" s="739"/>
      <c r="C95" s="739"/>
      <c r="D95" s="739"/>
      <c r="E95" s="739"/>
      <c r="F95" s="739"/>
      <c r="G95" s="739"/>
      <c r="H95" s="739"/>
      <c r="I95" s="739"/>
      <c r="J95" s="740"/>
      <c r="K95" s="740"/>
      <c r="L95" s="740"/>
      <c r="M95" s="739"/>
      <c r="N95" s="739"/>
      <c r="O95" s="739"/>
      <c r="P95" s="739"/>
      <c r="Q95" s="739"/>
      <c r="R95" s="739"/>
      <c r="S95" s="739"/>
      <c r="T95" s="739"/>
      <c r="U95" s="739"/>
      <c r="V95" s="739"/>
      <c r="W95" s="739"/>
      <c r="X95" s="739"/>
      <c r="Y95" s="739"/>
      <c r="Z95" s="739"/>
      <c r="AA95" s="739"/>
    </row>
    <row r="96" spans="2:27" ht="15.75" customHeight="1" x14ac:dyDescent="0.25">
      <c r="B96" s="739"/>
      <c r="C96" s="739"/>
      <c r="D96" s="739"/>
      <c r="E96" s="739"/>
      <c r="F96" s="739"/>
      <c r="G96" s="739"/>
      <c r="H96" s="739"/>
      <c r="I96" s="739"/>
      <c r="J96" s="740"/>
      <c r="K96" s="740"/>
      <c r="L96" s="740"/>
      <c r="M96" s="739"/>
      <c r="N96" s="739"/>
      <c r="O96" s="739"/>
      <c r="P96" s="739"/>
      <c r="Q96" s="739"/>
      <c r="R96" s="739"/>
      <c r="S96" s="739"/>
      <c r="T96" s="739"/>
      <c r="U96" s="739"/>
      <c r="V96" s="739"/>
      <c r="W96" s="739"/>
      <c r="X96" s="739"/>
      <c r="Y96" s="739"/>
      <c r="Z96" s="739"/>
      <c r="AA96" s="739"/>
    </row>
    <row r="97" spans="2:27" ht="15.75" customHeight="1" x14ac:dyDescent="0.25">
      <c r="B97" s="739"/>
      <c r="C97" s="739"/>
      <c r="D97" s="739"/>
      <c r="E97" s="739"/>
      <c r="F97" s="739"/>
      <c r="G97" s="739"/>
      <c r="H97" s="739"/>
      <c r="I97" s="739"/>
      <c r="J97" s="740"/>
      <c r="K97" s="740"/>
      <c r="L97" s="740"/>
      <c r="M97" s="739"/>
      <c r="N97" s="739"/>
      <c r="O97" s="739"/>
      <c r="P97" s="739"/>
      <c r="Q97" s="739"/>
      <c r="R97" s="739"/>
      <c r="S97" s="739"/>
      <c r="T97" s="739"/>
      <c r="U97" s="739"/>
      <c r="V97" s="739"/>
      <c r="W97" s="739"/>
      <c r="X97" s="739"/>
      <c r="Y97" s="739"/>
      <c r="Z97" s="739"/>
      <c r="AA97" s="739"/>
    </row>
    <row r="98" spans="2:27" ht="15.75" customHeight="1" x14ac:dyDescent="0.25">
      <c r="B98" s="739"/>
      <c r="C98" s="739"/>
      <c r="D98" s="739"/>
      <c r="E98" s="739"/>
      <c r="F98" s="739"/>
      <c r="G98" s="739"/>
      <c r="H98" s="739"/>
      <c r="I98" s="739"/>
      <c r="J98" s="740"/>
      <c r="K98" s="740"/>
      <c r="L98" s="740"/>
      <c r="M98" s="739"/>
      <c r="N98" s="739"/>
      <c r="O98" s="739"/>
      <c r="P98" s="739"/>
      <c r="Q98" s="739"/>
      <c r="R98" s="739"/>
      <c r="S98" s="739"/>
      <c r="T98" s="739"/>
      <c r="U98" s="739"/>
      <c r="V98" s="739"/>
      <c r="W98" s="739"/>
      <c r="X98" s="739"/>
      <c r="Y98" s="739"/>
      <c r="Z98" s="739"/>
      <c r="AA98" s="739"/>
    </row>
    <row r="99" spans="2:27" ht="15.75" customHeight="1" x14ac:dyDescent="0.25">
      <c r="B99" s="739"/>
      <c r="C99" s="739"/>
      <c r="D99" s="739"/>
      <c r="E99" s="739"/>
      <c r="F99" s="739"/>
      <c r="G99" s="739"/>
      <c r="H99" s="739"/>
      <c r="I99" s="739"/>
      <c r="J99" s="740"/>
      <c r="K99" s="740"/>
      <c r="L99" s="740"/>
      <c r="M99" s="739"/>
      <c r="N99" s="739"/>
      <c r="O99" s="739"/>
      <c r="P99" s="739"/>
      <c r="Q99" s="739"/>
      <c r="R99" s="739"/>
      <c r="S99" s="739"/>
      <c r="T99" s="739"/>
      <c r="U99" s="739"/>
      <c r="V99" s="739"/>
      <c r="W99" s="739"/>
      <c r="X99" s="739"/>
      <c r="Y99" s="739"/>
      <c r="Z99" s="739"/>
      <c r="AA99" s="739"/>
    </row>
    <row r="100" spans="2:27" ht="15.75" customHeight="1" x14ac:dyDescent="0.25">
      <c r="B100" s="739"/>
      <c r="C100" s="739"/>
      <c r="D100" s="739"/>
      <c r="E100" s="739"/>
      <c r="F100" s="739"/>
      <c r="G100" s="739"/>
      <c r="H100" s="739"/>
      <c r="I100" s="739"/>
      <c r="J100" s="740"/>
      <c r="K100" s="740"/>
      <c r="L100" s="740"/>
      <c r="M100" s="739"/>
      <c r="N100" s="739"/>
      <c r="O100" s="739"/>
      <c r="P100" s="739"/>
      <c r="Q100" s="739"/>
      <c r="R100" s="739"/>
      <c r="S100" s="739"/>
      <c r="T100" s="739"/>
      <c r="U100" s="739"/>
      <c r="V100" s="739"/>
      <c r="W100" s="739"/>
      <c r="X100" s="739"/>
      <c r="Y100" s="739"/>
      <c r="Z100" s="739"/>
      <c r="AA100" s="739"/>
    </row>
    <row r="101" spans="2:27" ht="15.75" customHeight="1" x14ac:dyDescent="0.25">
      <c r="B101" s="739"/>
      <c r="C101" s="739"/>
      <c r="D101" s="739"/>
      <c r="E101" s="739"/>
      <c r="F101" s="739"/>
      <c r="G101" s="739"/>
      <c r="H101" s="739"/>
      <c r="I101" s="739"/>
      <c r="J101" s="740"/>
      <c r="K101" s="740"/>
      <c r="L101" s="740"/>
      <c r="M101" s="739"/>
      <c r="N101" s="739"/>
      <c r="O101" s="739"/>
      <c r="P101" s="739"/>
      <c r="Q101" s="739"/>
      <c r="R101" s="739"/>
      <c r="S101" s="739"/>
      <c r="T101" s="739"/>
      <c r="U101" s="739"/>
      <c r="V101" s="739"/>
      <c r="W101" s="739"/>
      <c r="X101" s="739"/>
      <c r="Y101" s="739"/>
      <c r="Z101" s="739"/>
      <c r="AA101" s="739"/>
    </row>
    <row r="102" spans="2:27" ht="15.75" customHeight="1" x14ac:dyDescent="0.25">
      <c r="B102" s="739"/>
      <c r="C102" s="739"/>
      <c r="D102" s="739"/>
      <c r="E102" s="739"/>
      <c r="F102" s="739"/>
      <c r="G102" s="739"/>
      <c r="H102" s="739"/>
      <c r="I102" s="739"/>
      <c r="J102" s="740"/>
      <c r="K102" s="740"/>
      <c r="L102" s="740"/>
      <c r="M102" s="739"/>
      <c r="N102" s="739"/>
      <c r="O102" s="739"/>
      <c r="P102" s="739"/>
      <c r="Q102" s="739"/>
      <c r="R102" s="739"/>
      <c r="S102" s="739"/>
      <c r="T102" s="739"/>
      <c r="U102" s="739"/>
      <c r="V102" s="739"/>
      <c r="W102" s="739"/>
      <c r="X102" s="739"/>
      <c r="Y102" s="739"/>
      <c r="Z102" s="739"/>
      <c r="AA102" s="739"/>
    </row>
    <row r="103" spans="2:27" ht="15.75" customHeight="1" x14ac:dyDescent="0.25">
      <c r="B103" s="739"/>
      <c r="C103" s="739"/>
      <c r="D103" s="739"/>
      <c r="E103" s="739"/>
      <c r="F103" s="739"/>
      <c r="G103" s="739"/>
      <c r="H103" s="739"/>
      <c r="I103" s="739"/>
      <c r="J103" s="740"/>
      <c r="K103" s="740"/>
      <c r="L103" s="740"/>
      <c r="M103" s="739"/>
      <c r="N103" s="739"/>
      <c r="O103" s="739"/>
      <c r="P103" s="739"/>
      <c r="Q103" s="739"/>
      <c r="R103" s="739"/>
      <c r="S103" s="739"/>
      <c r="T103" s="739"/>
      <c r="U103" s="739"/>
      <c r="V103" s="739"/>
      <c r="W103" s="739"/>
      <c r="X103" s="739"/>
      <c r="Y103" s="739"/>
      <c r="Z103" s="739"/>
      <c r="AA103" s="739"/>
    </row>
    <row r="104" spans="2:27" ht="15.75" customHeight="1" x14ac:dyDescent="0.25">
      <c r="B104" s="739"/>
      <c r="C104" s="739"/>
      <c r="D104" s="739"/>
      <c r="E104" s="739"/>
      <c r="F104" s="739"/>
      <c r="G104" s="739"/>
      <c r="H104" s="739"/>
      <c r="I104" s="739"/>
      <c r="J104" s="740"/>
      <c r="K104" s="740"/>
      <c r="L104" s="740"/>
      <c r="M104" s="739"/>
      <c r="N104" s="739"/>
      <c r="O104" s="739"/>
      <c r="P104" s="739"/>
      <c r="Q104" s="739"/>
      <c r="R104" s="739"/>
      <c r="S104" s="739"/>
      <c r="T104" s="739"/>
      <c r="U104" s="739"/>
      <c r="V104" s="739"/>
      <c r="W104" s="739"/>
      <c r="X104" s="739"/>
      <c r="Y104" s="739"/>
      <c r="Z104" s="739"/>
      <c r="AA104" s="739"/>
    </row>
    <row r="105" spans="2:27" ht="15.75" customHeight="1" x14ac:dyDescent="0.25">
      <c r="B105" s="739"/>
      <c r="C105" s="739"/>
      <c r="D105" s="739"/>
      <c r="E105" s="739"/>
      <c r="F105" s="739"/>
      <c r="G105" s="739"/>
      <c r="H105" s="739"/>
      <c r="I105" s="739"/>
      <c r="J105" s="740"/>
      <c r="K105" s="740"/>
      <c r="L105" s="740"/>
      <c r="M105" s="739"/>
      <c r="N105" s="739"/>
      <c r="O105" s="739"/>
      <c r="P105" s="739"/>
      <c r="Q105" s="739"/>
      <c r="R105" s="739"/>
      <c r="S105" s="739"/>
      <c r="T105" s="739"/>
      <c r="U105" s="739"/>
      <c r="V105" s="739"/>
      <c r="W105" s="739"/>
      <c r="X105" s="739"/>
      <c r="Y105" s="739"/>
      <c r="Z105" s="739"/>
      <c r="AA105" s="739"/>
    </row>
    <row r="106" spans="2:27" ht="15.75" customHeight="1" x14ac:dyDescent="0.25">
      <c r="B106" s="739"/>
      <c r="C106" s="739"/>
      <c r="D106" s="739"/>
      <c r="E106" s="739"/>
      <c r="F106" s="739"/>
      <c r="G106" s="739"/>
      <c r="H106" s="739"/>
      <c r="I106" s="739"/>
      <c r="J106" s="740"/>
      <c r="K106" s="740"/>
      <c r="L106" s="740"/>
      <c r="M106" s="739"/>
      <c r="N106" s="739"/>
      <c r="O106" s="739"/>
      <c r="P106" s="739"/>
      <c r="Q106" s="739"/>
      <c r="R106" s="739"/>
      <c r="S106" s="739"/>
      <c r="T106" s="739"/>
      <c r="U106" s="739"/>
      <c r="V106" s="739"/>
      <c r="W106" s="739"/>
      <c r="X106" s="739"/>
      <c r="Y106" s="739"/>
      <c r="Z106" s="739"/>
      <c r="AA106" s="739"/>
    </row>
    <row r="107" spans="2:27" ht="15.75" customHeight="1" x14ac:dyDescent="0.25">
      <c r="B107" s="739"/>
      <c r="C107" s="739"/>
      <c r="D107" s="739"/>
      <c r="E107" s="739"/>
      <c r="F107" s="739"/>
      <c r="G107" s="739"/>
      <c r="H107" s="739"/>
      <c r="I107" s="739"/>
      <c r="J107" s="740"/>
      <c r="K107" s="740"/>
      <c r="L107" s="740"/>
      <c r="M107" s="739"/>
      <c r="N107" s="739"/>
      <c r="O107" s="739"/>
      <c r="P107" s="739"/>
      <c r="Q107" s="739"/>
      <c r="R107" s="739"/>
      <c r="S107" s="739"/>
      <c r="T107" s="739"/>
      <c r="U107" s="739"/>
      <c r="V107" s="739"/>
      <c r="W107" s="739"/>
      <c r="X107" s="739"/>
      <c r="Y107" s="739"/>
      <c r="Z107" s="739"/>
      <c r="AA107" s="739"/>
    </row>
    <row r="108" spans="2:27" ht="15.75" customHeight="1" x14ac:dyDescent="0.25">
      <c r="B108" s="739"/>
      <c r="C108" s="739"/>
      <c r="D108" s="739"/>
      <c r="E108" s="739"/>
      <c r="F108" s="739"/>
      <c r="G108" s="739"/>
      <c r="H108" s="739"/>
      <c r="I108" s="739"/>
      <c r="J108" s="740"/>
      <c r="K108" s="740"/>
      <c r="L108" s="740"/>
      <c r="M108" s="739"/>
      <c r="N108" s="739"/>
      <c r="O108" s="739"/>
      <c r="P108" s="739"/>
      <c r="Q108" s="739"/>
      <c r="R108" s="739"/>
      <c r="S108" s="739"/>
      <c r="T108" s="739"/>
      <c r="U108" s="739"/>
      <c r="V108" s="739"/>
      <c r="W108" s="739"/>
      <c r="X108" s="739"/>
      <c r="Y108" s="739"/>
      <c r="Z108" s="739"/>
      <c r="AA108" s="739"/>
    </row>
    <row r="109" spans="2:27" ht="15.75" customHeight="1" x14ac:dyDescent="0.25">
      <c r="B109" s="739"/>
      <c r="C109" s="739"/>
      <c r="D109" s="739"/>
      <c r="E109" s="739"/>
      <c r="F109" s="739"/>
      <c r="G109" s="739"/>
      <c r="H109" s="739"/>
      <c r="I109" s="739"/>
      <c r="J109" s="740"/>
      <c r="K109" s="740"/>
      <c r="L109" s="740"/>
      <c r="M109" s="739"/>
      <c r="N109" s="739"/>
      <c r="O109" s="739"/>
      <c r="P109" s="739"/>
      <c r="Q109" s="739"/>
      <c r="R109" s="739"/>
      <c r="S109" s="739"/>
      <c r="T109" s="739"/>
      <c r="U109" s="739"/>
      <c r="V109" s="739"/>
      <c r="W109" s="739"/>
      <c r="X109" s="739"/>
      <c r="Y109" s="739"/>
      <c r="Z109" s="739"/>
      <c r="AA109" s="739"/>
    </row>
    <row r="110" spans="2:27" ht="15.75" customHeight="1" x14ac:dyDescent="0.25">
      <c r="B110" s="739"/>
      <c r="C110" s="739"/>
      <c r="D110" s="739"/>
      <c r="E110" s="739"/>
      <c r="F110" s="739"/>
      <c r="G110" s="739"/>
      <c r="H110" s="739"/>
      <c r="I110" s="739"/>
      <c r="J110" s="740"/>
      <c r="K110" s="740"/>
      <c r="L110" s="740"/>
      <c r="M110" s="739"/>
      <c r="N110" s="739"/>
      <c r="O110" s="739"/>
      <c r="P110" s="739"/>
      <c r="Q110" s="739"/>
      <c r="R110" s="739"/>
      <c r="S110" s="739"/>
      <c r="T110" s="739"/>
      <c r="U110" s="739"/>
      <c r="V110" s="739"/>
      <c r="W110" s="739"/>
      <c r="X110" s="739"/>
      <c r="Y110" s="739"/>
      <c r="Z110" s="739"/>
      <c r="AA110" s="739"/>
    </row>
    <row r="111" spans="2:27" ht="15.75" customHeight="1" x14ac:dyDescent="0.25">
      <c r="B111" s="739"/>
      <c r="C111" s="739"/>
      <c r="D111" s="739"/>
      <c r="E111" s="739"/>
      <c r="F111" s="739"/>
      <c r="G111" s="739"/>
      <c r="H111" s="739"/>
      <c r="I111" s="739"/>
      <c r="J111" s="740"/>
      <c r="K111" s="740"/>
      <c r="L111" s="740"/>
      <c r="M111" s="739"/>
      <c r="N111" s="739"/>
      <c r="O111" s="739"/>
      <c r="P111" s="739"/>
      <c r="Q111" s="739"/>
      <c r="R111" s="739"/>
      <c r="S111" s="739"/>
      <c r="T111" s="739"/>
      <c r="U111" s="739"/>
      <c r="V111" s="739"/>
      <c r="W111" s="739"/>
      <c r="X111" s="739"/>
      <c r="Y111" s="739"/>
      <c r="Z111" s="739"/>
      <c r="AA111" s="739"/>
    </row>
    <row r="112" spans="2:27" ht="15.75" customHeight="1" x14ac:dyDescent="0.25">
      <c r="B112" s="739"/>
      <c r="C112" s="739"/>
      <c r="D112" s="739"/>
      <c r="E112" s="739"/>
      <c r="F112" s="739"/>
      <c r="G112" s="739"/>
      <c r="H112" s="739"/>
      <c r="I112" s="739"/>
      <c r="J112" s="740"/>
      <c r="K112" s="740"/>
      <c r="L112" s="740"/>
      <c r="M112" s="739"/>
      <c r="N112" s="739"/>
      <c r="O112" s="739"/>
      <c r="P112" s="739"/>
      <c r="Q112" s="739"/>
      <c r="R112" s="739"/>
      <c r="S112" s="739"/>
      <c r="T112" s="739"/>
      <c r="U112" s="739"/>
      <c r="V112" s="739"/>
      <c r="W112" s="739"/>
      <c r="X112" s="739"/>
      <c r="Y112" s="739"/>
      <c r="Z112" s="739"/>
      <c r="AA112" s="739"/>
    </row>
    <row r="113" spans="2:27" ht="15.75" customHeight="1" x14ac:dyDescent="0.25">
      <c r="B113" s="739"/>
      <c r="C113" s="739"/>
      <c r="D113" s="739"/>
      <c r="E113" s="739"/>
      <c r="F113" s="739"/>
      <c r="G113" s="739"/>
      <c r="H113" s="739"/>
      <c r="I113" s="739"/>
      <c r="J113" s="740"/>
      <c r="K113" s="740"/>
      <c r="L113" s="740"/>
      <c r="M113" s="739"/>
      <c r="N113" s="739"/>
      <c r="O113" s="739"/>
      <c r="P113" s="739"/>
      <c r="Q113" s="739"/>
      <c r="R113" s="739"/>
      <c r="S113" s="739"/>
      <c r="T113" s="739"/>
      <c r="U113" s="739"/>
      <c r="V113" s="739"/>
      <c r="W113" s="739"/>
      <c r="X113" s="739"/>
      <c r="Y113" s="739"/>
      <c r="Z113" s="739"/>
      <c r="AA113" s="739"/>
    </row>
    <row r="114" spans="2:27" ht="15.75" customHeight="1" x14ac:dyDescent="0.25">
      <c r="B114" s="739"/>
      <c r="C114" s="739"/>
      <c r="D114" s="739"/>
      <c r="E114" s="739"/>
      <c r="F114" s="739"/>
      <c r="G114" s="739"/>
      <c r="H114" s="739"/>
      <c r="I114" s="739"/>
      <c r="J114" s="740"/>
      <c r="K114" s="740"/>
      <c r="L114" s="740"/>
      <c r="M114" s="739"/>
      <c r="N114" s="739"/>
      <c r="O114" s="739"/>
      <c r="P114" s="739"/>
      <c r="Q114" s="739"/>
      <c r="R114" s="739"/>
      <c r="S114" s="739"/>
      <c r="T114" s="739"/>
      <c r="U114" s="739"/>
      <c r="V114" s="739"/>
      <c r="W114" s="739"/>
      <c r="X114" s="739"/>
      <c r="Y114" s="739"/>
      <c r="Z114" s="739"/>
      <c r="AA114" s="739"/>
    </row>
    <row r="115" spans="2:27" ht="15.75" customHeight="1" x14ac:dyDescent="0.25">
      <c r="B115" s="739"/>
      <c r="C115" s="739"/>
      <c r="D115" s="739"/>
      <c r="E115" s="739"/>
      <c r="F115" s="739"/>
      <c r="G115" s="739"/>
      <c r="H115" s="739"/>
      <c r="I115" s="739"/>
      <c r="J115" s="740"/>
      <c r="K115" s="740"/>
      <c r="L115" s="740"/>
      <c r="M115" s="739"/>
      <c r="N115" s="739"/>
      <c r="O115" s="739"/>
      <c r="P115" s="739"/>
      <c r="Q115" s="739"/>
      <c r="R115" s="739"/>
      <c r="S115" s="739"/>
      <c r="T115" s="739"/>
      <c r="U115" s="739"/>
      <c r="V115" s="739"/>
      <c r="W115" s="739"/>
      <c r="X115" s="739"/>
      <c r="Y115" s="739"/>
      <c r="Z115" s="739"/>
      <c r="AA115" s="739"/>
    </row>
    <row r="116" spans="2:27" ht="15.75" customHeight="1" x14ac:dyDescent="0.25">
      <c r="B116" s="739"/>
      <c r="C116" s="739"/>
      <c r="D116" s="739"/>
      <c r="E116" s="739"/>
      <c r="F116" s="739"/>
      <c r="G116" s="739"/>
      <c r="H116" s="739"/>
      <c r="I116" s="739"/>
      <c r="J116" s="740"/>
      <c r="K116" s="740"/>
      <c r="L116" s="740"/>
      <c r="M116" s="739"/>
      <c r="N116" s="739"/>
      <c r="O116" s="739"/>
      <c r="P116" s="739"/>
      <c r="Q116" s="739"/>
      <c r="R116" s="739"/>
      <c r="S116" s="739"/>
      <c r="T116" s="739"/>
      <c r="U116" s="739"/>
      <c r="V116" s="739"/>
      <c r="W116" s="739"/>
      <c r="X116" s="739"/>
      <c r="Y116" s="739"/>
      <c r="Z116" s="739"/>
      <c r="AA116" s="739"/>
    </row>
    <row r="117" spans="2:27" ht="15.75" customHeight="1" x14ac:dyDescent="0.25">
      <c r="B117" s="739"/>
      <c r="C117" s="739"/>
      <c r="D117" s="739"/>
      <c r="E117" s="739"/>
      <c r="F117" s="739"/>
      <c r="G117" s="739"/>
      <c r="H117" s="739"/>
      <c r="I117" s="739"/>
      <c r="J117" s="740"/>
      <c r="K117" s="740"/>
      <c r="L117" s="740"/>
      <c r="M117" s="739"/>
      <c r="N117" s="739"/>
      <c r="O117" s="739"/>
      <c r="P117" s="739"/>
      <c r="Q117" s="739"/>
      <c r="R117" s="739"/>
      <c r="S117" s="739"/>
      <c r="T117" s="739"/>
      <c r="U117" s="739"/>
      <c r="V117" s="739"/>
      <c r="W117" s="739"/>
      <c r="X117" s="739"/>
      <c r="Y117" s="739"/>
      <c r="Z117" s="739"/>
      <c r="AA117" s="739"/>
    </row>
    <row r="118" spans="2:27" ht="15.75" customHeight="1" x14ac:dyDescent="0.25">
      <c r="B118" s="739"/>
      <c r="C118" s="739"/>
      <c r="D118" s="739"/>
      <c r="E118" s="739"/>
      <c r="F118" s="739"/>
      <c r="G118" s="739"/>
      <c r="H118" s="739"/>
      <c r="I118" s="739"/>
      <c r="J118" s="740"/>
      <c r="K118" s="740"/>
      <c r="L118" s="740"/>
      <c r="M118" s="739"/>
      <c r="N118" s="739"/>
      <c r="O118" s="739"/>
      <c r="P118" s="739"/>
      <c r="Q118" s="739"/>
      <c r="R118" s="739"/>
      <c r="S118" s="739"/>
      <c r="T118" s="739"/>
      <c r="U118" s="739"/>
      <c r="V118" s="739"/>
      <c r="W118" s="739"/>
      <c r="X118" s="739"/>
      <c r="Y118" s="739"/>
      <c r="Z118" s="739"/>
      <c r="AA118" s="739"/>
    </row>
    <row r="119" spans="2:27" ht="15.75" customHeight="1" x14ac:dyDescent="0.25">
      <c r="B119" s="739"/>
      <c r="C119" s="739"/>
      <c r="D119" s="739"/>
      <c r="E119" s="739"/>
      <c r="F119" s="739"/>
      <c r="G119" s="739"/>
      <c r="H119" s="739"/>
      <c r="I119" s="739"/>
      <c r="J119" s="740"/>
      <c r="K119" s="740"/>
      <c r="L119" s="740"/>
      <c r="M119" s="739"/>
      <c r="N119" s="739"/>
      <c r="O119" s="739"/>
      <c r="P119" s="739"/>
      <c r="Q119" s="739"/>
      <c r="R119" s="739"/>
      <c r="S119" s="739"/>
      <c r="T119" s="739"/>
      <c r="U119" s="739"/>
      <c r="V119" s="739"/>
      <c r="W119" s="739"/>
      <c r="X119" s="739"/>
      <c r="Y119" s="739"/>
      <c r="Z119" s="739"/>
      <c r="AA119" s="739"/>
    </row>
    <row r="120" spans="2:27" ht="15.75" customHeight="1" x14ac:dyDescent="0.25">
      <c r="B120" s="739"/>
      <c r="C120" s="739"/>
      <c r="D120" s="739"/>
      <c r="E120" s="739"/>
      <c r="F120" s="739"/>
      <c r="G120" s="739"/>
      <c r="H120" s="739"/>
      <c r="I120" s="739"/>
      <c r="J120" s="740"/>
      <c r="K120" s="740"/>
      <c r="L120" s="740"/>
      <c r="M120" s="739"/>
      <c r="N120" s="739"/>
      <c r="O120" s="739"/>
      <c r="P120" s="739"/>
      <c r="Q120" s="739"/>
      <c r="R120" s="739"/>
      <c r="S120" s="739"/>
      <c r="T120" s="739"/>
      <c r="U120" s="739"/>
      <c r="V120" s="739"/>
      <c r="W120" s="739"/>
      <c r="X120" s="739"/>
      <c r="Y120" s="739"/>
      <c r="Z120" s="739"/>
      <c r="AA120" s="739"/>
    </row>
    <row r="121" spans="2:27" ht="15.75" customHeight="1" x14ac:dyDescent="0.25">
      <c r="B121" s="739"/>
      <c r="C121" s="739"/>
      <c r="D121" s="739"/>
      <c r="E121" s="739"/>
      <c r="F121" s="739"/>
      <c r="G121" s="739"/>
      <c r="H121" s="739"/>
      <c r="I121" s="739"/>
      <c r="J121" s="740"/>
      <c r="K121" s="740"/>
      <c r="L121" s="740"/>
      <c r="M121" s="739"/>
      <c r="N121" s="739"/>
      <c r="O121" s="739"/>
      <c r="P121" s="739"/>
      <c r="Q121" s="739"/>
      <c r="R121" s="739"/>
      <c r="S121" s="739"/>
      <c r="T121" s="739"/>
      <c r="U121" s="739"/>
      <c r="V121" s="739"/>
      <c r="W121" s="739"/>
      <c r="X121" s="739"/>
      <c r="Y121" s="739"/>
      <c r="Z121" s="739"/>
      <c r="AA121" s="739"/>
    </row>
    <row r="122" spans="2:27" ht="15.75" customHeight="1" x14ac:dyDescent="0.25">
      <c r="B122" s="739"/>
      <c r="C122" s="739"/>
      <c r="D122" s="739"/>
      <c r="E122" s="739"/>
      <c r="F122" s="739"/>
      <c r="G122" s="739"/>
      <c r="H122" s="739"/>
      <c r="I122" s="739"/>
      <c r="J122" s="740"/>
      <c r="K122" s="740"/>
      <c r="L122" s="740"/>
      <c r="M122" s="739"/>
      <c r="N122" s="739"/>
      <c r="O122" s="739"/>
      <c r="P122" s="739"/>
      <c r="Q122" s="739"/>
      <c r="R122" s="739"/>
      <c r="S122" s="739"/>
      <c r="T122" s="739"/>
      <c r="U122" s="739"/>
      <c r="V122" s="739"/>
      <c r="W122" s="739"/>
      <c r="X122" s="739"/>
      <c r="Y122" s="739"/>
      <c r="Z122" s="739"/>
      <c r="AA122" s="739"/>
    </row>
    <row r="123" spans="2:27" ht="15.75" customHeight="1" x14ac:dyDescent="0.25">
      <c r="B123" s="739"/>
      <c r="C123" s="739"/>
      <c r="D123" s="739"/>
      <c r="E123" s="739"/>
      <c r="F123" s="739"/>
      <c r="G123" s="739"/>
      <c r="H123" s="739"/>
      <c r="I123" s="739"/>
      <c r="J123" s="740"/>
      <c r="K123" s="740"/>
      <c r="L123" s="740"/>
      <c r="M123" s="739"/>
      <c r="N123" s="739"/>
      <c r="O123" s="739"/>
      <c r="P123" s="739"/>
      <c r="Q123" s="739"/>
      <c r="R123" s="739"/>
      <c r="S123" s="739"/>
      <c r="T123" s="739"/>
      <c r="U123" s="739"/>
      <c r="V123" s="739"/>
      <c r="W123" s="739"/>
      <c r="X123" s="739"/>
      <c r="Y123" s="739"/>
      <c r="Z123" s="739"/>
      <c r="AA123" s="739"/>
    </row>
    <row r="124" spans="2:27" ht="15.75" customHeight="1" x14ac:dyDescent="0.25">
      <c r="B124" s="739"/>
      <c r="C124" s="739"/>
      <c r="D124" s="739"/>
      <c r="E124" s="739"/>
      <c r="F124" s="739"/>
      <c r="G124" s="739"/>
      <c r="H124" s="739"/>
      <c r="I124" s="739"/>
      <c r="J124" s="740"/>
      <c r="K124" s="740"/>
      <c r="L124" s="740"/>
      <c r="M124" s="739"/>
      <c r="N124" s="739"/>
      <c r="O124" s="739"/>
      <c r="P124" s="739"/>
      <c r="Q124" s="739"/>
      <c r="R124" s="739"/>
      <c r="S124" s="739"/>
      <c r="T124" s="739"/>
      <c r="U124" s="739"/>
      <c r="V124" s="739"/>
      <c r="W124" s="739"/>
      <c r="X124" s="739"/>
      <c r="Y124" s="739"/>
      <c r="Z124" s="739"/>
      <c r="AA124" s="739"/>
    </row>
    <row r="125" spans="2:27" ht="15.75" customHeight="1" x14ac:dyDescent="0.25">
      <c r="B125" s="739"/>
      <c r="C125" s="739"/>
      <c r="D125" s="739"/>
      <c r="E125" s="739"/>
      <c r="F125" s="739"/>
      <c r="G125" s="739"/>
      <c r="H125" s="739"/>
      <c r="I125" s="739"/>
      <c r="J125" s="740"/>
      <c r="K125" s="740"/>
      <c r="L125" s="740"/>
      <c r="M125" s="739"/>
      <c r="N125" s="739"/>
      <c r="O125" s="739"/>
      <c r="P125" s="739"/>
      <c r="Q125" s="739"/>
      <c r="R125" s="739"/>
      <c r="S125" s="739"/>
      <c r="T125" s="739"/>
      <c r="U125" s="739"/>
      <c r="V125" s="739"/>
      <c r="W125" s="739"/>
      <c r="X125" s="739"/>
      <c r="Y125" s="739"/>
      <c r="Z125" s="739"/>
      <c r="AA125" s="739"/>
    </row>
    <row r="126" spans="2:27" ht="15.75" customHeight="1" x14ac:dyDescent="0.25">
      <c r="B126" s="739"/>
      <c r="C126" s="739"/>
      <c r="D126" s="739"/>
      <c r="E126" s="739"/>
      <c r="F126" s="739"/>
      <c r="G126" s="739"/>
      <c r="H126" s="739"/>
      <c r="I126" s="739"/>
      <c r="J126" s="740"/>
      <c r="K126" s="740"/>
      <c r="L126" s="740"/>
      <c r="M126" s="739"/>
      <c r="N126" s="739"/>
      <c r="O126" s="739"/>
      <c r="P126" s="739"/>
      <c r="Q126" s="739"/>
      <c r="R126" s="739"/>
      <c r="S126" s="739"/>
      <c r="T126" s="739"/>
      <c r="U126" s="739"/>
      <c r="V126" s="739"/>
      <c r="W126" s="739"/>
      <c r="X126" s="739"/>
      <c r="Y126" s="739"/>
      <c r="Z126" s="739"/>
      <c r="AA126" s="739"/>
    </row>
    <row r="127" spans="2:27" ht="15.75" customHeight="1" x14ac:dyDescent="0.25">
      <c r="B127" s="739"/>
      <c r="C127" s="739"/>
      <c r="D127" s="739"/>
      <c r="E127" s="739"/>
      <c r="F127" s="739"/>
      <c r="G127" s="739"/>
      <c r="H127" s="739"/>
      <c r="I127" s="739"/>
      <c r="J127" s="740"/>
      <c r="K127" s="740"/>
      <c r="L127" s="740"/>
      <c r="M127" s="739"/>
      <c r="N127" s="739"/>
      <c r="O127" s="739"/>
      <c r="P127" s="739"/>
      <c r="Q127" s="739"/>
      <c r="R127" s="739"/>
      <c r="S127" s="739"/>
      <c r="T127" s="739"/>
      <c r="U127" s="739"/>
      <c r="V127" s="739"/>
      <c r="W127" s="739"/>
      <c r="X127" s="739"/>
      <c r="Y127" s="739"/>
      <c r="Z127" s="739"/>
      <c r="AA127" s="739"/>
    </row>
    <row r="128" spans="2:27" ht="15.75" customHeight="1" x14ac:dyDescent="0.25">
      <c r="B128" s="739"/>
      <c r="C128" s="739"/>
      <c r="D128" s="739"/>
      <c r="E128" s="739"/>
      <c r="F128" s="739"/>
      <c r="G128" s="739"/>
      <c r="H128" s="739"/>
      <c r="I128" s="739"/>
      <c r="J128" s="740"/>
      <c r="K128" s="740"/>
      <c r="L128" s="740"/>
      <c r="M128" s="739"/>
      <c r="N128" s="739"/>
      <c r="O128" s="739"/>
      <c r="P128" s="739"/>
      <c r="Q128" s="739"/>
      <c r="R128" s="739"/>
      <c r="S128" s="739"/>
      <c r="T128" s="739"/>
      <c r="U128" s="739"/>
      <c r="V128" s="739"/>
      <c r="W128" s="739"/>
      <c r="X128" s="739"/>
      <c r="Y128" s="739"/>
      <c r="Z128" s="739"/>
      <c r="AA128" s="739"/>
    </row>
    <row r="129" spans="2:27" ht="15.75" customHeight="1" x14ac:dyDescent="0.25">
      <c r="B129" s="739"/>
      <c r="C129" s="739"/>
      <c r="D129" s="739"/>
      <c r="E129" s="739"/>
      <c r="F129" s="739"/>
      <c r="G129" s="739"/>
      <c r="H129" s="739"/>
      <c r="I129" s="739"/>
      <c r="J129" s="740"/>
      <c r="K129" s="740"/>
      <c r="L129" s="740"/>
      <c r="M129" s="739"/>
      <c r="N129" s="739"/>
      <c r="O129" s="739"/>
      <c r="P129" s="739"/>
      <c r="Q129" s="739"/>
      <c r="R129" s="739"/>
      <c r="S129" s="739"/>
      <c r="T129" s="739"/>
      <c r="U129" s="739"/>
      <c r="V129" s="739"/>
      <c r="W129" s="739"/>
      <c r="X129" s="739"/>
      <c r="Y129" s="739"/>
      <c r="Z129" s="739"/>
      <c r="AA129" s="739"/>
    </row>
    <row r="130" spans="2:27" ht="15.75" customHeight="1" x14ac:dyDescent="0.25">
      <c r="B130" s="739"/>
      <c r="C130" s="739"/>
      <c r="D130" s="739"/>
      <c r="E130" s="739"/>
      <c r="F130" s="739"/>
      <c r="G130" s="739"/>
      <c r="H130" s="739"/>
      <c r="I130" s="739"/>
      <c r="J130" s="740"/>
      <c r="K130" s="740"/>
      <c r="L130" s="740"/>
      <c r="M130" s="739"/>
      <c r="N130" s="739"/>
      <c r="O130" s="739"/>
      <c r="P130" s="739"/>
      <c r="Q130" s="739"/>
      <c r="R130" s="739"/>
      <c r="S130" s="739"/>
      <c r="T130" s="739"/>
      <c r="U130" s="739"/>
      <c r="V130" s="739"/>
      <c r="W130" s="739"/>
      <c r="X130" s="739"/>
      <c r="Y130" s="739"/>
      <c r="Z130" s="739"/>
      <c r="AA130" s="739"/>
    </row>
    <row r="131" spans="2:27" ht="15.75" customHeight="1" x14ac:dyDescent="0.25">
      <c r="B131" s="739"/>
      <c r="C131" s="739"/>
      <c r="D131" s="739"/>
      <c r="E131" s="739"/>
      <c r="F131" s="739"/>
      <c r="G131" s="739"/>
      <c r="H131" s="739"/>
      <c r="I131" s="739"/>
      <c r="J131" s="740"/>
      <c r="K131" s="740"/>
      <c r="L131" s="740"/>
      <c r="M131" s="739"/>
      <c r="N131" s="739"/>
      <c r="O131" s="739"/>
      <c r="P131" s="739"/>
      <c r="Q131" s="739"/>
      <c r="R131" s="739"/>
      <c r="S131" s="739"/>
      <c r="T131" s="739"/>
      <c r="U131" s="739"/>
      <c r="V131" s="739"/>
      <c r="W131" s="739"/>
      <c r="X131" s="739"/>
      <c r="Y131" s="739"/>
      <c r="Z131" s="739"/>
      <c r="AA131" s="739"/>
    </row>
    <row r="132" spans="2:27" ht="15.75" customHeight="1" x14ac:dyDescent="0.25">
      <c r="B132" s="739"/>
      <c r="C132" s="739"/>
      <c r="D132" s="739"/>
      <c r="E132" s="739"/>
      <c r="F132" s="739"/>
      <c r="G132" s="739"/>
      <c r="H132" s="739"/>
      <c r="I132" s="739"/>
      <c r="J132" s="740"/>
      <c r="K132" s="740"/>
      <c r="L132" s="740"/>
      <c r="M132" s="739"/>
      <c r="N132" s="739"/>
      <c r="O132" s="739"/>
      <c r="P132" s="739"/>
      <c r="Q132" s="739"/>
      <c r="R132" s="739"/>
      <c r="S132" s="739"/>
      <c r="T132" s="739"/>
      <c r="U132" s="739"/>
      <c r="V132" s="739"/>
      <c r="W132" s="739"/>
      <c r="X132" s="739"/>
      <c r="Y132" s="739"/>
      <c r="Z132" s="739"/>
      <c r="AA132" s="739"/>
    </row>
    <row r="133" spans="2:27" ht="15.75" customHeight="1" x14ac:dyDescent="0.25">
      <c r="B133" s="739"/>
      <c r="C133" s="739"/>
      <c r="D133" s="739"/>
      <c r="E133" s="739"/>
      <c r="F133" s="739"/>
      <c r="G133" s="739"/>
      <c r="H133" s="739"/>
      <c r="I133" s="739"/>
      <c r="J133" s="740"/>
      <c r="K133" s="740"/>
      <c r="L133" s="740"/>
      <c r="M133" s="739"/>
      <c r="N133" s="739"/>
      <c r="O133" s="739"/>
      <c r="P133" s="739"/>
      <c r="Q133" s="739"/>
      <c r="R133" s="739"/>
      <c r="S133" s="739"/>
      <c r="T133" s="739"/>
      <c r="U133" s="739"/>
      <c r="V133" s="739"/>
      <c r="W133" s="739"/>
      <c r="X133" s="739"/>
      <c r="Y133" s="739"/>
      <c r="Z133" s="739"/>
      <c r="AA133" s="739"/>
    </row>
    <row r="134" spans="2:27" ht="15.75" customHeight="1" x14ac:dyDescent="0.25">
      <c r="B134" s="739"/>
      <c r="C134" s="739"/>
      <c r="D134" s="739"/>
      <c r="E134" s="739"/>
      <c r="F134" s="739"/>
      <c r="G134" s="739"/>
      <c r="H134" s="739"/>
      <c r="I134" s="739"/>
      <c r="J134" s="740"/>
      <c r="K134" s="740"/>
      <c r="L134" s="740"/>
      <c r="M134" s="739"/>
      <c r="N134" s="739"/>
      <c r="O134" s="739"/>
      <c r="P134" s="739"/>
      <c r="Q134" s="739"/>
      <c r="R134" s="739"/>
      <c r="S134" s="739"/>
      <c r="T134" s="739"/>
      <c r="U134" s="739"/>
      <c r="V134" s="739"/>
      <c r="W134" s="739"/>
      <c r="X134" s="739"/>
      <c r="Y134" s="739"/>
      <c r="Z134" s="739"/>
      <c r="AA134" s="739"/>
    </row>
    <row r="135" spans="2:27" ht="15.75" customHeight="1" x14ac:dyDescent="0.25">
      <c r="B135" s="739"/>
      <c r="C135" s="739"/>
      <c r="D135" s="739"/>
      <c r="E135" s="739"/>
      <c r="F135" s="739"/>
      <c r="G135" s="739"/>
      <c r="H135" s="739"/>
      <c r="I135" s="739"/>
      <c r="J135" s="740"/>
      <c r="K135" s="740"/>
      <c r="L135" s="740"/>
      <c r="M135" s="739"/>
      <c r="N135" s="739"/>
      <c r="O135" s="739"/>
      <c r="P135" s="739"/>
      <c r="Q135" s="739"/>
      <c r="R135" s="739"/>
      <c r="S135" s="739"/>
      <c r="T135" s="739"/>
      <c r="U135" s="739"/>
      <c r="V135" s="739"/>
      <c r="W135" s="739"/>
      <c r="X135" s="739"/>
      <c r="Y135" s="739"/>
      <c r="Z135" s="739"/>
      <c r="AA135" s="739"/>
    </row>
    <row r="136" spans="2:27" ht="15.75" customHeight="1" x14ac:dyDescent="0.25">
      <c r="B136" s="739"/>
      <c r="C136" s="739"/>
      <c r="D136" s="739"/>
      <c r="E136" s="739"/>
      <c r="F136" s="739"/>
      <c r="G136" s="739"/>
      <c r="H136" s="739"/>
      <c r="I136" s="739"/>
      <c r="J136" s="740"/>
      <c r="K136" s="740"/>
      <c r="L136" s="740"/>
      <c r="M136" s="739"/>
      <c r="N136" s="739"/>
      <c r="O136" s="739"/>
      <c r="P136" s="739"/>
      <c r="Q136" s="739"/>
      <c r="R136" s="739"/>
      <c r="S136" s="739"/>
      <c r="T136" s="739"/>
      <c r="U136" s="739"/>
      <c r="V136" s="739"/>
      <c r="W136" s="739"/>
      <c r="X136" s="739"/>
      <c r="Y136" s="739"/>
      <c r="Z136" s="739"/>
      <c r="AA136" s="739"/>
    </row>
    <row r="137" spans="2:27" ht="15.75" customHeight="1" x14ac:dyDescent="0.25">
      <c r="B137" s="739"/>
      <c r="C137" s="739"/>
      <c r="D137" s="739"/>
      <c r="E137" s="739"/>
      <c r="F137" s="739"/>
      <c r="G137" s="739"/>
      <c r="H137" s="739"/>
      <c r="I137" s="739"/>
      <c r="J137" s="740"/>
      <c r="K137" s="740"/>
      <c r="L137" s="740"/>
      <c r="M137" s="739"/>
      <c r="N137" s="739"/>
      <c r="O137" s="739"/>
      <c r="P137" s="739"/>
      <c r="Q137" s="739"/>
      <c r="R137" s="739"/>
      <c r="S137" s="739"/>
      <c r="T137" s="739"/>
      <c r="U137" s="739"/>
      <c r="V137" s="739"/>
      <c r="W137" s="739"/>
      <c r="X137" s="739"/>
      <c r="Y137" s="739"/>
      <c r="Z137" s="739"/>
      <c r="AA137" s="739"/>
    </row>
    <row r="138" spans="2:27" ht="15.75" customHeight="1" x14ac:dyDescent="0.25">
      <c r="B138" s="739"/>
      <c r="C138" s="739"/>
      <c r="D138" s="739"/>
      <c r="E138" s="739"/>
      <c r="F138" s="739"/>
      <c r="G138" s="739"/>
      <c r="H138" s="739"/>
      <c r="I138" s="739"/>
      <c r="J138" s="740"/>
      <c r="K138" s="740"/>
      <c r="L138" s="740"/>
      <c r="M138" s="739"/>
      <c r="N138" s="739"/>
      <c r="O138" s="739"/>
      <c r="P138" s="739"/>
      <c r="Q138" s="739"/>
      <c r="R138" s="739"/>
      <c r="S138" s="739"/>
      <c r="T138" s="739"/>
      <c r="U138" s="739"/>
      <c r="V138" s="739"/>
      <c r="W138" s="739"/>
      <c r="X138" s="739"/>
      <c r="Y138" s="739"/>
      <c r="Z138" s="739"/>
      <c r="AA138" s="739"/>
    </row>
    <row r="139" spans="2:27" ht="15.75" customHeight="1" x14ac:dyDescent="0.25">
      <c r="B139" s="739"/>
      <c r="C139" s="739"/>
      <c r="D139" s="739"/>
      <c r="E139" s="739"/>
      <c r="F139" s="739"/>
      <c r="G139" s="739"/>
      <c r="H139" s="739"/>
      <c r="I139" s="739"/>
      <c r="J139" s="740"/>
      <c r="K139" s="740"/>
      <c r="L139" s="740"/>
      <c r="M139" s="739"/>
      <c r="N139" s="739"/>
      <c r="O139" s="739"/>
      <c r="P139" s="739"/>
      <c r="Q139" s="739"/>
      <c r="R139" s="739"/>
      <c r="S139" s="739"/>
      <c r="T139" s="739"/>
      <c r="U139" s="739"/>
      <c r="V139" s="739"/>
      <c r="W139" s="739"/>
      <c r="X139" s="739"/>
      <c r="Y139" s="739"/>
      <c r="Z139" s="739"/>
      <c r="AA139" s="739"/>
    </row>
    <row r="140" spans="2:27" ht="15.75" customHeight="1" x14ac:dyDescent="0.25">
      <c r="B140" s="739"/>
      <c r="C140" s="739"/>
      <c r="D140" s="739"/>
      <c r="E140" s="739"/>
      <c r="F140" s="739"/>
      <c r="G140" s="739"/>
      <c r="H140" s="739"/>
      <c r="I140" s="739"/>
      <c r="J140" s="740"/>
      <c r="K140" s="740"/>
      <c r="L140" s="740"/>
      <c r="M140" s="739"/>
      <c r="N140" s="739"/>
      <c r="O140" s="739"/>
      <c r="P140" s="739"/>
      <c r="Q140" s="739"/>
      <c r="R140" s="739"/>
      <c r="S140" s="739"/>
      <c r="T140" s="739"/>
      <c r="U140" s="739"/>
      <c r="V140" s="739"/>
      <c r="W140" s="739"/>
      <c r="X140" s="739"/>
      <c r="Y140" s="739"/>
      <c r="Z140" s="739"/>
      <c r="AA140" s="739"/>
    </row>
    <row r="141" spans="2:27" ht="15.75" customHeight="1" x14ac:dyDescent="0.25">
      <c r="B141" s="739"/>
      <c r="C141" s="739"/>
      <c r="D141" s="739"/>
      <c r="E141" s="739"/>
      <c r="F141" s="739"/>
      <c r="G141" s="739"/>
      <c r="H141" s="739"/>
      <c r="I141" s="739"/>
      <c r="J141" s="740"/>
      <c r="K141" s="740"/>
      <c r="L141" s="740"/>
      <c r="M141" s="739"/>
      <c r="N141" s="739"/>
      <c r="O141" s="739"/>
      <c r="P141" s="739"/>
      <c r="Q141" s="739"/>
      <c r="R141" s="739"/>
      <c r="S141" s="739"/>
      <c r="T141" s="739"/>
      <c r="U141" s="739"/>
      <c r="V141" s="739"/>
      <c r="W141" s="739"/>
      <c r="X141" s="739"/>
      <c r="Y141" s="739"/>
      <c r="Z141" s="739"/>
      <c r="AA141" s="739"/>
    </row>
    <row r="142" spans="2:27" ht="15.75" customHeight="1" x14ac:dyDescent="0.25">
      <c r="B142" s="739"/>
      <c r="C142" s="739"/>
      <c r="D142" s="739"/>
      <c r="E142" s="739"/>
      <c r="F142" s="739"/>
      <c r="G142" s="739"/>
      <c r="H142" s="739"/>
      <c r="I142" s="739"/>
      <c r="J142" s="740"/>
      <c r="K142" s="740"/>
      <c r="L142" s="740"/>
      <c r="M142" s="739"/>
      <c r="N142" s="739"/>
      <c r="O142" s="739"/>
      <c r="P142" s="739"/>
      <c r="Q142" s="739"/>
      <c r="R142" s="739"/>
      <c r="S142" s="739"/>
      <c r="T142" s="739"/>
      <c r="U142" s="739"/>
      <c r="V142" s="739"/>
      <c r="W142" s="739"/>
      <c r="X142" s="739"/>
      <c r="Y142" s="739"/>
      <c r="Z142" s="739"/>
      <c r="AA142" s="739"/>
    </row>
    <row r="143" spans="2:27" ht="15.75" customHeight="1" x14ac:dyDescent="0.25">
      <c r="B143" s="739"/>
      <c r="C143" s="739"/>
      <c r="D143" s="739"/>
      <c r="E143" s="739"/>
      <c r="F143" s="739"/>
      <c r="G143" s="739"/>
      <c r="H143" s="739"/>
      <c r="I143" s="739"/>
      <c r="J143" s="740"/>
      <c r="K143" s="740"/>
      <c r="L143" s="740"/>
      <c r="M143" s="739"/>
      <c r="N143" s="739"/>
      <c r="O143" s="739"/>
      <c r="P143" s="739"/>
      <c r="Q143" s="739"/>
      <c r="R143" s="739"/>
      <c r="S143" s="739"/>
      <c r="T143" s="739"/>
      <c r="U143" s="739"/>
      <c r="V143" s="739"/>
      <c r="W143" s="739"/>
      <c r="X143" s="739"/>
      <c r="Y143" s="739"/>
      <c r="Z143" s="739"/>
      <c r="AA143" s="739"/>
    </row>
    <row r="144" spans="2:27" ht="15.75" customHeight="1" x14ac:dyDescent="0.25">
      <c r="B144" s="739"/>
      <c r="C144" s="739"/>
      <c r="D144" s="739"/>
      <c r="E144" s="739"/>
      <c r="F144" s="739"/>
      <c r="G144" s="739"/>
      <c r="H144" s="739"/>
      <c r="I144" s="739"/>
      <c r="J144" s="740"/>
      <c r="K144" s="740"/>
      <c r="L144" s="740"/>
      <c r="M144" s="739"/>
      <c r="N144" s="739"/>
      <c r="O144" s="739"/>
      <c r="P144" s="739"/>
      <c r="Q144" s="739"/>
      <c r="R144" s="739"/>
      <c r="S144" s="739"/>
      <c r="T144" s="739"/>
      <c r="U144" s="739"/>
      <c r="V144" s="739"/>
      <c r="W144" s="739"/>
      <c r="X144" s="739"/>
      <c r="Y144" s="739"/>
      <c r="Z144" s="739"/>
      <c r="AA144" s="739"/>
    </row>
    <row r="145" spans="2:27" ht="15.75" customHeight="1" x14ac:dyDescent="0.25">
      <c r="B145" s="739"/>
      <c r="C145" s="739"/>
      <c r="D145" s="739"/>
      <c r="E145" s="739"/>
      <c r="F145" s="739"/>
      <c r="G145" s="739"/>
      <c r="H145" s="739"/>
      <c r="I145" s="739"/>
      <c r="J145" s="740"/>
      <c r="K145" s="740"/>
      <c r="L145" s="740"/>
      <c r="M145" s="739"/>
      <c r="N145" s="739"/>
      <c r="O145" s="739"/>
      <c r="P145" s="739"/>
      <c r="Q145" s="739"/>
      <c r="R145" s="739"/>
      <c r="S145" s="739"/>
      <c r="T145" s="739"/>
      <c r="U145" s="739"/>
      <c r="V145" s="739"/>
      <c r="W145" s="739"/>
      <c r="X145" s="739"/>
      <c r="Y145" s="739"/>
      <c r="Z145" s="739"/>
      <c r="AA145" s="739"/>
    </row>
    <row r="146" spans="2:27" ht="15.75" customHeight="1" x14ac:dyDescent="0.25">
      <c r="B146" s="739"/>
      <c r="C146" s="739"/>
      <c r="D146" s="739"/>
      <c r="E146" s="739"/>
      <c r="F146" s="739"/>
      <c r="G146" s="739"/>
      <c r="H146" s="739"/>
      <c r="I146" s="739"/>
      <c r="J146" s="740"/>
      <c r="K146" s="740"/>
      <c r="L146" s="740"/>
      <c r="M146" s="739"/>
      <c r="N146" s="739"/>
      <c r="O146" s="739"/>
      <c r="P146" s="739"/>
      <c r="Q146" s="739"/>
      <c r="R146" s="739"/>
      <c r="S146" s="739"/>
      <c r="T146" s="739"/>
      <c r="U146" s="739"/>
      <c r="V146" s="739"/>
      <c r="W146" s="739"/>
      <c r="X146" s="739"/>
      <c r="Y146" s="739"/>
      <c r="Z146" s="739"/>
      <c r="AA146" s="739"/>
    </row>
    <row r="147" spans="2:27" ht="15.75" customHeight="1" x14ac:dyDescent="0.25">
      <c r="B147" s="739"/>
      <c r="C147" s="739"/>
      <c r="D147" s="739"/>
      <c r="E147" s="739"/>
      <c r="F147" s="739"/>
      <c r="G147" s="739"/>
      <c r="H147" s="739"/>
      <c r="I147" s="739"/>
      <c r="J147" s="740"/>
      <c r="K147" s="740"/>
      <c r="L147" s="740"/>
      <c r="M147" s="739"/>
      <c r="N147" s="739"/>
      <c r="O147" s="739"/>
      <c r="P147" s="739"/>
      <c r="Q147" s="739"/>
      <c r="R147" s="739"/>
      <c r="S147" s="739"/>
      <c r="T147" s="739"/>
      <c r="U147" s="739"/>
      <c r="V147" s="739"/>
      <c r="W147" s="739"/>
      <c r="X147" s="739"/>
      <c r="Y147" s="739"/>
      <c r="Z147" s="739"/>
      <c r="AA147" s="739"/>
    </row>
    <row r="148" spans="2:27" ht="15.75" customHeight="1" x14ac:dyDescent="0.25">
      <c r="B148" s="739"/>
      <c r="C148" s="739"/>
      <c r="D148" s="739"/>
      <c r="E148" s="739"/>
      <c r="F148" s="739"/>
      <c r="G148" s="739"/>
      <c r="H148" s="739"/>
      <c r="I148" s="739"/>
      <c r="J148" s="740"/>
      <c r="K148" s="740"/>
      <c r="L148" s="740"/>
      <c r="M148" s="739"/>
      <c r="N148" s="739"/>
      <c r="O148" s="739"/>
      <c r="P148" s="739"/>
      <c r="Q148" s="739"/>
      <c r="R148" s="739"/>
      <c r="S148" s="739"/>
      <c r="T148" s="739"/>
      <c r="U148" s="739"/>
      <c r="V148" s="739"/>
      <c r="W148" s="739"/>
      <c r="X148" s="739"/>
      <c r="Y148" s="739"/>
      <c r="Z148" s="739"/>
      <c r="AA148" s="739"/>
    </row>
    <row r="149" spans="2:27" ht="15.75" customHeight="1" x14ac:dyDescent="0.25">
      <c r="B149" s="739"/>
      <c r="C149" s="739"/>
      <c r="D149" s="739"/>
      <c r="E149" s="739"/>
      <c r="F149" s="739"/>
      <c r="G149" s="739"/>
      <c r="H149" s="739"/>
      <c r="I149" s="739"/>
      <c r="J149" s="740"/>
      <c r="K149" s="740"/>
      <c r="L149" s="740"/>
      <c r="M149" s="739"/>
      <c r="N149" s="739"/>
      <c r="O149" s="739"/>
      <c r="P149" s="739"/>
      <c r="Q149" s="739"/>
      <c r="R149" s="739"/>
      <c r="S149" s="739"/>
      <c r="T149" s="739"/>
      <c r="U149" s="739"/>
      <c r="V149" s="739"/>
      <c r="W149" s="739"/>
      <c r="X149" s="739"/>
      <c r="Y149" s="739"/>
      <c r="Z149" s="739"/>
      <c r="AA149" s="739"/>
    </row>
    <row r="150" spans="2:27" ht="15.75" customHeight="1" x14ac:dyDescent="0.25">
      <c r="B150" s="739"/>
      <c r="C150" s="739"/>
      <c r="D150" s="739"/>
      <c r="E150" s="739"/>
      <c r="F150" s="739"/>
      <c r="G150" s="739"/>
      <c r="H150" s="739"/>
      <c r="I150" s="739"/>
      <c r="J150" s="740"/>
      <c r="K150" s="740"/>
      <c r="L150" s="740"/>
      <c r="M150" s="739"/>
      <c r="N150" s="739"/>
      <c r="O150" s="739"/>
      <c r="P150" s="739"/>
      <c r="Q150" s="739"/>
      <c r="R150" s="739"/>
      <c r="S150" s="739"/>
      <c r="T150" s="739"/>
      <c r="U150" s="739"/>
      <c r="V150" s="739"/>
      <c r="W150" s="739"/>
      <c r="X150" s="739"/>
      <c r="Y150" s="739"/>
      <c r="Z150" s="739"/>
      <c r="AA150" s="739"/>
    </row>
    <row r="151" spans="2:27" ht="15.75" customHeight="1" x14ac:dyDescent="0.25">
      <c r="B151" s="739"/>
      <c r="C151" s="739"/>
      <c r="D151" s="739"/>
      <c r="E151" s="739"/>
      <c r="F151" s="739"/>
      <c r="G151" s="739"/>
      <c r="H151" s="739"/>
      <c r="I151" s="739"/>
      <c r="J151" s="740"/>
      <c r="K151" s="740"/>
      <c r="L151" s="740"/>
      <c r="M151" s="739"/>
      <c r="N151" s="739"/>
      <c r="O151" s="739"/>
      <c r="P151" s="739"/>
      <c r="Q151" s="739"/>
      <c r="R151" s="739"/>
      <c r="S151" s="739"/>
      <c r="T151" s="739"/>
      <c r="U151" s="739"/>
      <c r="V151" s="739"/>
      <c r="W151" s="739"/>
      <c r="X151" s="739"/>
      <c r="Y151" s="739"/>
      <c r="Z151" s="739"/>
      <c r="AA151" s="739"/>
    </row>
    <row r="152" spans="2:27" ht="15.75" customHeight="1" x14ac:dyDescent="0.25">
      <c r="B152" s="739"/>
      <c r="C152" s="739"/>
      <c r="D152" s="739"/>
      <c r="E152" s="739"/>
      <c r="F152" s="739"/>
      <c r="G152" s="739"/>
      <c r="H152" s="739"/>
      <c r="I152" s="739"/>
      <c r="J152" s="740"/>
      <c r="K152" s="740"/>
      <c r="L152" s="740"/>
      <c r="M152" s="739"/>
      <c r="N152" s="739"/>
      <c r="O152" s="739"/>
      <c r="P152" s="739"/>
      <c r="Q152" s="739"/>
      <c r="R152" s="739"/>
      <c r="S152" s="739"/>
      <c r="T152" s="739"/>
      <c r="U152" s="739"/>
      <c r="V152" s="739"/>
      <c r="W152" s="739"/>
      <c r="X152" s="739"/>
      <c r="Y152" s="739"/>
      <c r="Z152" s="739"/>
      <c r="AA152" s="739"/>
    </row>
    <row r="153" spans="2:27" ht="15.75" customHeight="1" x14ac:dyDescent="0.25">
      <c r="B153" s="739"/>
      <c r="C153" s="739"/>
      <c r="D153" s="739"/>
      <c r="E153" s="739"/>
      <c r="F153" s="739"/>
      <c r="G153" s="739"/>
      <c r="H153" s="739"/>
      <c r="I153" s="739"/>
      <c r="J153" s="740"/>
      <c r="K153" s="740"/>
      <c r="L153" s="740"/>
      <c r="M153" s="739"/>
      <c r="N153" s="739"/>
      <c r="O153" s="739"/>
      <c r="P153" s="739"/>
      <c r="Q153" s="739"/>
      <c r="R153" s="739"/>
      <c r="S153" s="739"/>
      <c r="T153" s="739"/>
      <c r="U153" s="739"/>
      <c r="V153" s="739"/>
      <c r="W153" s="739"/>
      <c r="X153" s="739"/>
      <c r="Y153" s="739"/>
      <c r="Z153" s="739"/>
      <c r="AA153" s="739"/>
    </row>
    <row r="154" spans="2:27" ht="15.75" customHeight="1" x14ac:dyDescent="0.25">
      <c r="B154" s="739"/>
      <c r="C154" s="739"/>
      <c r="D154" s="739"/>
      <c r="E154" s="739"/>
      <c r="F154" s="739"/>
      <c r="G154" s="739"/>
      <c r="H154" s="739"/>
      <c r="I154" s="739"/>
      <c r="J154" s="740"/>
      <c r="K154" s="740"/>
      <c r="L154" s="740"/>
      <c r="M154" s="739"/>
      <c r="N154" s="739"/>
      <c r="O154" s="739"/>
      <c r="P154" s="739"/>
      <c r="Q154" s="739"/>
      <c r="R154" s="739"/>
      <c r="S154" s="739"/>
      <c r="T154" s="739"/>
      <c r="U154" s="739"/>
      <c r="V154" s="739"/>
      <c r="W154" s="739"/>
      <c r="X154" s="739"/>
      <c r="Y154" s="739"/>
      <c r="Z154" s="739"/>
      <c r="AA154" s="739"/>
    </row>
    <row r="155" spans="2:27" ht="15.75" customHeight="1" x14ac:dyDescent="0.25">
      <c r="B155" s="739"/>
      <c r="C155" s="739"/>
      <c r="D155" s="739"/>
      <c r="E155" s="739"/>
      <c r="F155" s="739"/>
      <c r="G155" s="739"/>
      <c r="H155" s="739"/>
      <c r="I155" s="739"/>
      <c r="J155" s="740"/>
      <c r="K155" s="740"/>
      <c r="L155" s="740"/>
      <c r="M155" s="739"/>
      <c r="N155" s="739"/>
      <c r="O155" s="739"/>
      <c r="P155" s="739"/>
      <c r="Q155" s="739"/>
      <c r="R155" s="739"/>
      <c r="S155" s="739"/>
      <c r="T155" s="739"/>
      <c r="U155" s="739"/>
      <c r="V155" s="739"/>
      <c r="W155" s="739"/>
      <c r="X155" s="739"/>
      <c r="Y155" s="739"/>
      <c r="Z155" s="739"/>
      <c r="AA155" s="739"/>
    </row>
    <row r="156" spans="2:27" ht="15.75" customHeight="1" x14ac:dyDescent="0.25">
      <c r="B156" s="739"/>
      <c r="C156" s="739"/>
      <c r="D156" s="739"/>
      <c r="E156" s="739"/>
      <c r="F156" s="739"/>
      <c r="G156" s="739"/>
      <c r="H156" s="739"/>
      <c r="I156" s="739"/>
      <c r="J156" s="740"/>
      <c r="K156" s="740"/>
      <c r="L156" s="740"/>
      <c r="M156" s="739"/>
      <c r="N156" s="739"/>
      <c r="O156" s="739"/>
      <c r="P156" s="739"/>
      <c r="Q156" s="739"/>
      <c r="R156" s="739"/>
      <c r="S156" s="739"/>
      <c r="T156" s="739"/>
      <c r="U156" s="739"/>
      <c r="V156" s="739"/>
      <c r="W156" s="739"/>
      <c r="X156" s="739"/>
      <c r="Y156" s="739"/>
      <c r="Z156" s="739"/>
      <c r="AA156" s="739"/>
    </row>
    <row r="157" spans="2:27" ht="15.75" customHeight="1" x14ac:dyDescent="0.25">
      <c r="B157" s="739"/>
      <c r="C157" s="739"/>
      <c r="D157" s="739"/>
      <c r="E157" s="739"/>
      <c r="F157" s="739"/>
      <c r="G157" s="739"/>
      <c r="H157" s="739"/>
      <c r="I157" s="739"/>
      <c r="J157" s="740"/>
      <c r="K157" s="740"/>
      <c r="L157" s="740"/>
      <c r="M157" s="739"/>
      <c r="N157" s="739"/>
      <c r="O157" s="739"/>
      <c r="P157" s="739"/>
      <c r="Q157" s="739"/>
      <c r="R157" s="739"/>
      <c r="S157" s="739"/>
      <c r="T157" s="739"/>
      <c r="U157" s="739"/>
      <c r="V157" s="739"/>
      <c r="W157" s="739"/>
      <c r="X157" s="739"/>
      <c r="Y157" s="739"/>
      <c r="Z157" s="739"/>
      <c r="AA157" s="739"/>
    </row>
    <row r="158" spans="2:27" ht="15.75" customHeight="1" x14ac:dyDescent="0.25">
      <c r="B158" s="739"/>
      <c r="C158" s="739"/>
      <c r="D158" s="739"/>
      <c r="E158" s="739"/>
      <c r="F158" s="739"/>
      <c r="G158" s="739"/>
      <c r="H158" s="739"/>
      <c r="I158" s="739"/>
      <c r="J158" s="740"/>
      <c r="K158" s="740"/>
      <c r="L158" s="740"/>
      <c r="M158" s="739"/>
      <c r="N158" s="739"/>
      <c r="O158" s="739"/>
      <c r="P158" s="739"/>
      <c r="Q158" s="739"/>
      <c r="R158" s="739"/>
      <c r="S158" s="739"/>
      <c r="T158" s="739"/>
      <c r="U158" s="739"/>
      <c r="V158" s="739"/>
      <c r="W158" s="739"/>
      <c r="X158" s="739"/>
      <c r="Y158" s="739"/>
      <c r="Z158" s="739"/>
      <c r="AA158" s="739"/>
    </row>
    <row r="159" spans="2:27" ht="15.75" customHeight="1" x14ac:dyDescent="0.25">
      <c r="B159" s="739"/>
      <c r="C159" s="739"/>
      <c r="D159" s="739"/>
      <c r="E159" s="739"/>
      <c r="F159" s="739"/>
      <c r="G159" s="739"/>
      <c r="H159" s="739"/>
      <c r="I159" s="739"/>
      <c r="J159" s="740"/>
      <c r="K159" s="740"/>
      <c r="L159" s="740"/>
      <c r="M159" s="739"/>
      <c r="N159" s="739"/>
      <c r="O159" s="739"/>
      <c r="P159" s="739"/>
      <c r="Q159" s="739"/>
      <c r="R159" s="739"/>
      <c r="S159" s="739"/>
      <c r="T159" s="739"/>
      <c r="U159" s="739"/>
      <c r="V159" s="739"/>
      <c r="W159" s="739"/>
      <c r="X159" s="739"/>
      <c r="Y159" s="739"/>
      <c r="Z159" s="739"/>
      <c r="AA159" s="739"/>
    </row>
    <row r="160" spans="2:27" ht="15.75" customHeight="1" x14ac:dyDescent="0.25">
      <c r="B160" s="739"/>
      <c r="C160" s="739"/>
      <c r="D160" s="739"/>
      <c r="E160" s="739"/>
      <c r="F160" s="739"/>
      <c r="G160" s="739"/>
      <c r="H160" s="739"/>
      <c r="I160" s="739"/>
      <c r="J160" s="740"/>
      <c r="K160" s="740"/>
      <c r="L160" s="740"/>
      <c r="M160" s="739"/>
      <c r="N160" s="739"/>
      <c r="O160" s="739"/>
      <c r="P160" s="739"/>
      <c r="Q160" s="739"/>
      <c r="R160" s="739"/>
      <c r="S160" s="739"/>
      <c r="T160" s="739"/>
      <c r="U160" s="739"/>
      <c r="V160" s="739"/>
      <c r="W160" s="739"/>
      <c r="X160" s="739"/>
      <c r="Y160" s="739"/>
      <c r="Z160" s="739"/>
      <c r="AA160" s="739"/>
    </row>
    <row r="161" spans="2:27" ht="15.75" customHeight="1" x14ac:dyDescent="0.25">
      <c r="B161" s="739"/>
      <c r="C161" s="739"/>
      <c r="D161" s="739"/>
      <c r="E161" s="739"/>
      <c r="F161" s="739"/>
      <c r="G161" s="739"/>
      <c r="H161" s="739"/>
      <c r="I161" s="739"/>
      <c r="J161" s="740"/>
      <c r="K161" s="740"/>
      <c r="L161" s="740"/>
      <c r="M161" s="739"/>
      <c r="N161" s="739"/>
      <c r="O161" s="739"/>
      <c r="P161" s="739"/>
      <c r="Q161" s="739"/>
      <c r="R161" s="739"/>
      <c r="S161" s="739"/>
      <c r="T161" s="739"/>
      <c r="U161" s="739"/>
      <c r="V161" s="739"/>
      <c r="W161" s="739"/>
      <c r="X161" s="739"/>
      <c r="Y161" s="739"/>
      <c r="Z161" s="739"/>
      <c r="AA161" s="739"/>
    </row>
    <row r="162" spans="2:27" ht="15.75" customHeight="1" x14ac:dyDescent="0.25">
      <c r="B162" s="739"/>
      <c r="C162" s="739"/>
      <c r="D162" s="739"/>
      <c r="E162" s="739"/>
      <c r="F162" s="739"/>
      <c r="G162" s="739"/>
      <c r="H162" s="739"/>
      <c r="I162" s="739"/>
      <c r="J162" s="740"/>
      <c r="K162" s="740"/>
      <c r="L162" s="740"/>
      <c r="M162" s="739"/>
      <c r="N162" s="739"/>
      <c r="O162" s="739"/>
      <c r="P162" s="739"/>
      <c r="Q162" s="739"/>
      <c r="R162" s="739"/>
      <c r="S162" s="739"/>
      <c r="T162" s="739"/>
      <c r="U162" s="739"/>
      <c r="V162" s="739"/>
      <c r="W162" s="739"/>
      <c r="X162" s="739"/>
      <c r="Y162" s="739"/>
      <c r="Z162" s="739"/>
      <c r="AA162" s="739"/>
    </row>
    <row r="163" spans="2:27" ht="15.75" customHeight="1" x14ac:dyDescent="0.25">
      <c r="B163" s="739"/>
      <c r="C163" s="739"/>
      <c r="D163" s="739"/>
      <c r="E163" s="739"/>
      <c r="F163" s="739"/>
      <c r="G163" s="739"/>
      <c r="H163" s="739"/>
      <c r="I163" s="739"/>
      <c r="J163" s="740"/>
      <c r="K163" s="740"/>
      <c r="L163" s="740"/>
      <c r="M163" s="739"/>
      <c r="N163" s="739"/>
      <c r="O163" s="739"/>
      <c r="P163" s="739"/>
      <c r="Q163" s="739"/>
      <c r="R163" s="739"/>
      <c r="S163" s="739"/>
      <c r="T163" s="739"/>
      <c r="U163" s="739"/>
      <c r="V163" s="739"/>
      <c r="W163" s="739"/>
      <c r="X163" s="739"/>
      <c r="Y163" s="739"/>
      <c r="Z163" s="739"/>
      <c r="AA163" s="739"/>
    </row>
    <row r="164" spans="2:27" ht="15.75" customHeight="1" x14ac:dyDescent="0.25">
      <c r="B164" s="739"/>
      <c r="C164" s="739"/>
      <c r="D164" s="739"/>
      <c r="E164" s="739"/>
      <c r="F164" s="739"/>
      <c r="G164" s="739"/>
      <c r="H164" s="739"/>
      <c r="I164" s="739"/>
      <c r="J164" s="740"/>
      <c r="K164" s="740"/>
      <c r="L164" s="740"/>
      <c r="M164" s="739"/>
      <c r="N164" s="739"/>
      <c r="O164" s="739"/>
      <c r="P164" s="739"/>
      <c r="Q164" s="739"/>
      <c r="R164" s="739"/>
      <c r="S164" s="739"/>
      <c r="T164" s="739"/>
      <c r="U164" s="739"/>
      <c r="V164" s="739"/>
      <c r="W164" s="739"/>
      <c r="X164" s="739"/>
      <c r="Y164" s="739"/>
      <c r="Z164" s="739"/>
      <c r="AA164" s="739"/>
    </row>
    <row r="165" spans="2:27" ht="15.75" customHeight="1" x14ac:dyDescent="0.25">
      <c r="B165" s="739"/>
      <c r="C165" s="739"/>
      <c r="D165" s="739"/>
      <c r="E165" s="739"/>
      <c r="F165" s="739"/>
      <c r="G165" s="739"/>
      <c r="H165" s="739"/>
      <c r="I165" s="739"/>
      <c r="J165" s="740"/>
      <c r="K165" s="740"/>
      <c r="L165" s="740"/>
      <c r="M165" s="739"/>
      <c r="N165" s="739"/>
      <c r="O165" s="739"/>
      <c r="P165" s="739"/>
      <c r="Q165" s="739"/>
      <c r="R165" s="739"/>
      <c r="S165" s="739"/>
      <c r="T165" s="739"/>
      <c r="U165" s="739"/>
      <c r="V165" s="739"/>
      <c r="W165" s="739"/>
      <c r="X165" s="739"/>
      <c r="Y165" s="739"/>
      <c r="Z165" s="739"/>
      <c r="AA165" s="739"/>
    </row>
    <row r="166" spans="2:27" ht="15.75" customHeight="1" x14ac:dyDescent="0.25">
      <c r="B166" s="739"/>
      <c r="C166" s="739"/>
      <c r="D166" s="739"/>
      <c r="E166" s="739"/>
      <c r="F166" s="739"/>
      <c r="G166" s="739"/>
      <c r="H166" s="739"/>
      <c r="I166" s="739"/>
      <c r="J166" s="740"/>
      <c r="K166" s="740"/>
      <c r="L166" s="740"/>
      <c r="M166" s="739"/>
      <c r="N166" s="739"/>
      <c r="O166" s="739"/>
      <c r="P166" s="739"/>
      <c r="Q166" s="739"/>
      <c r="R166" s="739"/>
      <c r="S166" s="739"/>
      <c r="T166" s="739"/>
      <c r="U166" s="739"/>
      <c r="V166" s="739"/>
      <c r="W166" s="739"/>
      <c r="X166" s="739"/>
      <c r="Y166" s="739"/>
      <c r="Z166" s="739"/>
      <c r="AA166" s="739"/>
    </row>
    <row r="167" spans="2:27" ht="15.75" customHeight="1" x14ac:dyDescent="0.25">
      <c r="B167" s="739"/>
      <c r="C167" s="739"/>
      <c r="D167" s="739"/>
      <c r="E167" s="739"/>
      <c r="F167" s="739"/>
      <c r="G167" s="739"/>
      <c r="H167" s="739"/>
      <c r="I167" s="739"/>
      <c r="J167" s="740"/>
      <c r="K167" s="740"/>
      <c r="L167" s="740"/>
      <c r="M167" s="739"/>
      <c r="N167" s="739"/>
      <c r="O167" s="739"/>
      <c r="P167" s="739"/>
      <c r="Q167" s="739"/>
      <c r="R167" s="739"/>
      <c r="S167" s="739"/>
      <c r="T167" s="739"/>
      <c r="U167" s="739"/>
      <c r="V167" s="739"/>
      <c r="W167" s="739"/>
      <c r="X167" s="739"/>
      <c r="Y167" s="739"/>
      <c r="Z167" s="739"/>
      <c r="AA167" s="739"/>
    </row>
    <row r="168" spans="2:27" ht="15.75" customHeight="1" x14ac:dyDescent="0.25">
      <c r="B168" s="739"/>
      <c r="C168" s="739"/>
      <c r="D168" s="739"/>
      <c r="E168" s="739"/>
      <c r="F168" s="739"/>
      <c r="G168" s="739"/>
      <c r="H168" s="739"/>
      <c r="I168" s="739"/>
      <c r="J168" s="740"/>
      <c r="K168" s="740"/>
      <c r="L168" s="740"/>
      <c r="M168" s="739"/>
      <c r="N168" s="739"/>
      <c r="O168" s="739"/>
      <c r="P168" s="739"/>
      <c r="Q168" s="739"/>
      <c r="R168" s="739"/>
      <c r="S168" s="739"/>
      <c r="T168" s="739"/>
      <c r="U168" s="739"/>
      <c r="V168" s="739"/>
      <c r="W168" s="739"/>
      <c r="X168" s="739"/>
      <c r="Y168" s="739"/>
      <c r="Z168" s="739"/>
      <c r="AA168" s="739"/>
    </row>
    <row r="169" spans="2:27" ht="15.75" customHeight="1" x14ac:dyDescent="0.25">
      <c r="B169" s="739"/>
      <c r="C169" s="739"/>
      <c r="D169" s="739"/>
      <c r="E169" s="739"/>
      <c r="F169" s="739"/>
      <c r="G169" s="739"/>
      <c r="H169" s="739"/>
      <c r="I169" s="739"/>
      <c r="J169" s="740"/>
      <c r="K169" s="740"/>
      <c r="L169" s="740"/>
      <c r="M169" s="739"/>
      <c r="N169" s="739"/>
      <c r="O169" s="739"/>
      <c r="P169" s="739"/>
      <c r="Q169" s="739"/>
      <c r="R169" s="739"/>
      <c r="S169" s="739"/>
      <c r="T169" s="739"/>
      <c r="U169" s="739"/>
      <c r="V169" s="739"/>
      <c r="W169" s="739"/>
      <c r="X169" s="739"/>
      <c r="Y169" s="739"/>
      <c r="Z169" s="739"/>
      <c r="AA169" s="739"/>
    </row>
    <row r="170" spans="2:27" ht="15.75" customHeight="1" x14ac:dyDescent="0.25">
      <c r="B170" s="739"/>
      <c r="C170" s="739"/>
      <c r="D170" s="739"/>
      <c r="E170" s="739"/>
      <c r="F170" s="739"/>
      <c r="G170" s="739"/>
      <c r="H170" s="739"/>
      <c r="I170" s="739"/>
      <c r="J170" s="740"/>
      <c r="K170" s="740"/>
      <c r="L170" s="740"/>
      <c r="M170" s="739"/>
      <c r="N170" s="739"/>
      <c r="O170" s="739"/>
      <c r="P170" s="739"/>
      <c r="Q170" s="739"/>
      <c r="R170" s="739"/>
      <c r="S170" s="739"/>
      <c r="T170" s="739"/>
      <c r="U170" s="739"/>
      <c r="V170" s="739"/>
      <c r="W170" s="739"/>
      <c r="X170" s="739"/>
      <c r="Y170" s="739"/>
      <c r="Z170" s="739"/>
      <c r="AA170" s="739"/>
    </row>
    <row r="171" spans="2:27" ht="15.75" customHeight="1" x14ac:dyDescent="0.25">
      <c r="B171" s="739"/>
      <c r="C171" s="739"/>
      <c r="D171" s="739"/>
      <c r="E171" s="739"/>
      <c r="F171" s="739"/>
      <c r="G171" s="739"/>
      <c r="H171" s="739"/>
      <c r="I171" s="739"/>
      <c r="J171" s="740"/>
      <c r="K171" s="740"/>
      <c r="L171" s="740"/>
      <c r="M171" s="739"/>
      <c r="N171" s="739"/>
      <c r="O171" s="739"/>
      <c r="P171" s="739"/>
      <c r="Q171" s="739"/>
      <c r="R171" s="739"/>
      <c r="S171" s="739"/>
      <c r="T171" s="739"/>
      <c r="U171" s="739"/>
      <c r="V171" s="739"/>
      <c r="W171" s="739"/>
      <c r="X171" s="739"/>
      <c r="Y171" s="739"/>
      <c r="Z171" s="739"/>
      <c r="AA171" s="739"/>
    </row>
    <row r="172" spans="2:27" ht="15.75" customHeight="1" x14ac:dyDescent="0.25">
      <c r="B172" s="739"/>
      <c r="C172" s="739"/>
      <c r="D172" s="739"/>
      <c r="E172" s="739"/>
      <c r="F172" s="739"/>
      <c r="G172" s="739"/>
      <c r="H172" s="739"/>
      <c r="I172" s="739"/>
      <c r="J172" s="740"/>
      <c r="K172" s="740"/>
      <c r="L172" s="740"/>
      <c r="M172" s="739"/>
      <c r="N172" s="739"/>
      <c r="O172" s="739"/>
      <c r="P172" s="739"/>
      <c r="Q172" s="739"/>
      <c r="R172" s="739"/>
      <c r="S172" s="739"/>
      <c r="T172" s="739"/>
      <c r="U172" s="739"/>
      <c r="V172" s="739"/>
      <c r="W172" s="739"/>
      <c r="X172" s="739"/>
      <c r="Y172" s="739"/>
      <c r="Z172" s="739"/>
      <c r="AA172" s="739"/>
    </row>
    <row r="173" spans="2:27" ht="15.75" customHeight="1" x14ac:dyDescent="0.25">
      <c r="B173" s="739"/>
      <c r="C173" s="739"/>
      <c r="D173" s="739"/>
      <c r="E173" s="739"/>
      <c r="F173" s="739"/>
      <c r="G173" s="739"/>
      <c r="H173" s="739"/>
      <c r="I173" s="739"/>
      <c r="J173" s="740"/>
      <c r="K173" s="740"/>
      <c r="L173" s="740"/>
      <c r="M173" s="739"/>
      <c r="N173" s="739"/>
      <c r="O173" s="739"/>
      <c r="P173" s="739"/>
      <c r="Q173" s="739"/>
      <c r="R173" s="739"/>
      <c r="S173" s="739"/>
      <c r="T173" s="739"/>
      <c r="U173" s="739"/>
      <c r="V173" s="739"/>
      <c r="W173" s="739"/>
      <c r="X173" s="739"/>
      <c r="Y173" s="739"/>
      <c r="Z173" s="739"/>
      <c r="AA173" s="739"/>
    </row>
    <row r="174" spans="2:27" ht="15.75" customHeight="1" x14ac:dyDescent="0.25">
      <c r="B174" s="739"/>
      <c r="C174" s="739"/>
      <c r="D174" s="739"/>
      <c r="E174" s="739"/>
      <c r="F174" s="739"/>
      <c r="G174" s="739"/>
      <c r="H174" s="739"/>
      <c r="I174" s="739"/>
      <c r="J174" s="740"/>
      <c r="K174" s="740"/>
      <c r="L174" s="740"/>
      <c r="M174" s="739"/>
      <c r="N174" s="739"/>
      <c r="O174" s="739"/>
      <c r="P174" s="739"/>
      <c r="Q174" s="739"/>
      <c r="R174" s="739"/>
      <c r="S174" s="739"/>
      <c r="T174" s="739"/>
      <c r="U174" s="739"/>
      <c r="V174" s="739"/>
      <c r="W174" s="739"/>
      <c r="X174" s="739"/>
      <c r="Y174" s="739"/>
      <c r="Z174" s="739"/>
      <c r="AA174" s="739"/>
    </row>
    <row r="175" spans="2:27" ht="15.75" customHeight="1" x14ac:dyDescent="0.25">
      <c r="B175" s="739"/>
      <c r="C175" s="739"/>
      <c r="D175" s="739"/>
      <c r="E175" s="739"/>
      <c r="F175" s="739"/>
      <c r="G175" s="739"/>
      <c r="H175" s="739"/>
      <c r="I175" s="739"/>
      <c r="J175" s="740"/>
      <c r="K175" s="740"/>
      <c r="L175" s="740"/>
      <c r="M175" s="739"/>
      <c r="N175" s="739"/>
      <c r="O175" s="739"/>
      <c r="P175" s="739"/>
      <c r="Q175" s="739"/>
      <c r="R175" s="739"/>
      <c r="S175" s="739"/>
      <c r="T175" s="739"/>
      <c r="U175" s="739"/>
      <c r="V175" s="739"/>
      <c r="W175" s="739"/>
      <c r="X175" s="739"/>
      <c r="Y175" s="739"/>
      <c r="Z175" s="739"/>
      <c r="AA175" s="739"/>
    </row>
    <row r="176" spans="2:27" ht="15.75" customHeight="1" x14ac:dyDescent="0.25">
      <c r="B176" s="739"/>
      <c r="C176" s="739"/>
      <c r="D176" s="739"/>
      <c r="E176" s="739"/>
      <c r="F176" s="739"/>
      <c r="G176" s="739"/>
      <c r="H176" s="739"/>
      <c r="I176" s="739"/>
      <c r="J176" s="740"/>
      <c r="K176" s="740"/>
      <c r="L176" s="740"/>
      <c r="M176" s="739"/>
      <c r="N176" s="739"/>
      <c r="O176" s="739"/>
      <c r="P176" s="739"/>
      <c r="Q176" s="739"/>
      <c r="R176" s="739"/>
      <c r="S176" s="739"/>
      <c r="T176" s="739"/>
      <c r="U176" s="739"/>
      <c r="V176" s="739"/>
      <c r="W176" s="739"/>
      <c r="X176" s="739"/>
      <c r="Y176" s="739"/>
      <c r="Z176" s="739"/>
      <c r="AA176" s="739"/>
    </row>
    <row r="177" spans="2:27" ht="15.75" customHeight="1" x14ac:dyDescent="0.25">
      <c r="B177" s="739"/>
      <c r="C177" s="739"/>
      <c r="D177" s="739"/>
      <c r="E177" s="739"/>
      <c r="F177" s="739"/>
      <c r="G177" s="739"/>
      <c r="H177" s="739"/>
      <c r="I177" s="739"/>
      <c r="J177" s="740"/>
      <c r="K177" s="740"/>
      <c r="L177" s="740"/>
      <c r="M177" s="739"/>
      <c r="N177" s="739"/>
      <c r="O177" s="739"/>
      <c r="P177" s="739"/>
      <c r="Q177" s="739"/>
      <c r="R177" s="739"/>
      <c r="S177" s="739"/>
      <c r="T177" s="739"/>
      <c r="U177" s="739"/>
      <c r="V177" s="739"/>
      <c r="W177" s="739"/>
      <c r="X177" s="739"/>
      <c r="Y177" s="739"/>
      <c r="Z177" s="739"/>
      <c r="AA177" s="739"/>
    </row>
    <row r="178" spans="2:27" ht="15.75" customHeight="1" x14ac:dyDescent="0.25">
      <c r="B178" s="739"/>
      <c r="C178" s="739"/>
      <c r="D178" s="739"/>
      <c r="E178" s="739"/>
      <c r="F178" s="739"/>
      <c r="G178" s="739"/>
      <c r="H178" s="739"/>
      <c r="I178" s="739"/>
      <c r="J178" s="740"/>
      <c r="K178" s="740"/>
      <c r="L178" s="740"/>
      <c r="M178" s="739"/>
      <c r="N178" s="739"/>
      <c r="O178" s="739"/>
      <c r="P178" s="739"/>
      <c r="Q178" s="739"/>
      <c r="R178" s="739"/>
      <c r="S178" s="739"/>
      <c r="T178" s="739"/>
      <c r="U178" s="739"/>
      <c r="V178" s="739"/>
      <c r="W178" s="739"/>
      <c r="X178" s="739"/>
      <c r="Y178" s="739"/>
      <c r="Z178" s="739"/>
      <c r="AA178" s="739"/>
    </row>
    <row r="179" spans="2:27" ht="15.75" customHeight="1" x14ac:dyDescent="0.25">
      <c r="B179" s="739"/>
      <c r="C179" s="739"/>
      <c r="D179" s="739"/>
      <c r="E179" s="739"/>
      <c r="F179" s="739"/>
      <c r="G179" s="739"/>
      <c r="H179" s="739"/>
      <c r="I179" s="739"/>
      <c r="J179" s="740"/>
      <c r="K179" s="740"/>
      <c r="L179" s="740"/>
      <c r="M179" s="739"/>
      <c r="N179" s="739"/>
      <c r="O179" s="739"/>
      <c r="P179" s="739"/>
      <c r="Q179" s="739"/>
      <c r="R179" s="739"/>
      <c r="S179" s="739"/>
      <c r="T179" s="739"/>
      <c r="U179" s="739"/>
      <c r="V179" s="739"/>
      <c r="W179" s="739"/>
      <c r="X179" s="739"/>
      <c r="Y179" s="739"/>
      <c r="Z179" s="739"/>
      <c r="AA179" s="739"/>
    </row>
    <row r="180" spans="2:27" ht="15.75" customHeight="1" x14ac:dyDescent="0.25">
      <c r="B180" s="739"/>
      <c r="C180" s="739"/>
      <c r="D180" s="739"/>
      <c r="E180" s="739"/>
      <c r="F180" s="739"/>
      <c r="G180" s="739"/>
      <c r="H180" s="739"/>
      <c r="I180" s="739"/>
      <c r="J180" s="740"/>
      <c r="K180" s="740"/>
      <c r="L180" s="740"/>
      <c r="M180" s="739"/>
      <c r="N180" s="739"/>
      <c r="O180" s="739"/>
      <c r="P180" s="739"/>
      <c r="Q180" s="739"/>
      <c r="R180" s="739"/>
      <c r="S180" s="739"/>
      <c r="T180" s="739"/>
      <c r="U180" s="739"/>
      <c r="V180" s="739"/>
      <c r="W180" s="739"/>
      <c r="X180" s="739"/>
      <c r="Y180" s="739"/>
      <c r="Z180" s="739"/>
      <c r="AA180" s="739"/>
    </row>
    <row r="181" spans="2:27" ht="15.75" customHeight="1" x14ac:dyDescent="0.25">
      <c r="B181" s="739"/>
      <c r="C181" s="739"/>
      <c r="D181" s="739"/>
      <c r="E181" s="739"/>
      <c r="F181" s="739"/>
      <c r="G181" s="739"/>
      <c r="H181" s="739"/>
      <c r="I181" s="739"/>
      <c r="J181" s="740"/>
      <c r="K181" s="740"/>
      <c r="L181" s="740"/>
      <c r="M181" s="739"/>
      <c r="N181" s="739"/>
      <c r="O181" s="739"/>
      <c r="P181" s="739"/>
      <c r="Q181" s="739"/>
      <c r="R181" s="739"/>
      <c r="S181" s="739"/>
      <c r="T181" s="739"/>
      <c r="U181" s="739"/>
      <c r="V181" s="739"/>
      <c r="W181" s="739"/>
      <c r="X181" s="739"/>
      <c r="Y181" s="739"/>
      <c r="Z181" s="739"/>
      <c r="AA181" s="739"/>
    </row>
    <row r="182" spans="2:27" ht="15.75" customHeight="1" x14ac:dyDescent="0.25">
      <c r="B182" s="739"/>
      <c r="C182" s="739"/>
      <c r="D182" s="739"/>
      <c r="E182" s="739"/>
      <c r="F182" s="739"/>
      <c r="G182" s="739"/>
      <c r="H182" s="739"/>
      <c r="I182" s="739"/>
      <c r="J182" s="740"/>
      <c r="K182" s="740"/>
      <c r="L182" s="740"/>
      <c r="M182" s="739"/>
      <c r="N182" s="739"/>
      <c r="O182" s="739"/>
      <c r="P182" s="739"/>
      <c r="Q182" s="739"/>
      <c r="R182" s="739"/>
      <c r="S182" s="739"/>
      <c r="T182" s="739"/>
      <c r="U182" s="739"/>
      <c r="V182" s="739"/>
      <c r="W182" s="739"/>
      <c r="X182" s="739"/>
      <c r="Y182" s="739"/>
      <c r="Z182" s="739"/>
      <c r="AA182" s="739"/>
    </row>
    <row r="183" spans="2:27" ht="15.75" customHeight="1" x14ac:dyDescent="0.25">
      <c r="B183" s="739"/>
      <c r="C183" s="739"/>
      <c r="D183" s="739"/>
      <c r="E183" s="739"/>
      <c r="F183" s="739"/>
      <c r="G183" s="739"/>
      <c r="H183" s="739"/>
      <c r="I183" s="739"/>
      <c r="J183" s="740"/>
      <c r="K183" s="740"/>
      <c r="L183" s="740"/>
      <c r="M183" s="739"/>
      <c r="N183" s="739"/>
      <c r="O183" s="739"/>
      <c r="P183" s="739"/>
      <c r="Q183" s="739"/>
      <c r="R183" s="739"/>
      <c r="S183" s="739"/>
      <c r="T183" s="739"/>
      <c r="U183" s="739"/>
      <c r="V183" s="739"/>
      <c r="W183" s="739"/>
      <c r="X183" s="739"/>
      <c r="Y183" s="739"/>
      <c r="Z183" s="739"/>
      <c r="AA183" s="739"/>
    </row>
    <row r="184" spans="2:27" ht="15.75" customHeight="1" x14ac:dyDescent="0.25">
      <c r="B184" s="739"/>
      <c r="C184" s="739"/>
      <c r="D184" s="739"/>
      <c r="E184" s="739"/>
      <c r="F184" s="739"/>
      <c r="G184" s="739"/>
      <c r="H184" s="739"/>
      <c r="I184" s="739"/>
      <c r="J184" s="740"/>
      <c r="K184" s="740"/>
      <c r="L184" s="740"/>
      <c r="M184" s="739"/>
      <c r="N184" s="739"/>
      <c r="O184" s="739"/>
      <c r="P184" s="739"/>
      <c r="Q184" s="739"/>
      <c r="R184" s="739"/>
      <c r="S184" s="739"/>
      <c r="T184" s="739"/>
      <c r="U184" s="739"/>
      <c r="V184" s="739"/>
      <c r="W184" s="739"/>
      <c r="X184" s="739"/>
      <c r="Y184" s="739"/>
      <c r="Z184" s="739"/>
      <c r="AA184" s="739"/>
    </row>
    <row r="185" spans="2:27" ht="15.75" customHeight="1" x14ac:dyDescent="0.25">
      <c r="B185" s="739"/>
      <c r="C185" s="739"/>
      <c r="D185" s="739"/>
      <c r="E185" s="739"/>
      <c r="F185" s="739"/>
      <c r="G185" s="739"/>
      <c r="H185" s="739"/>
      <c r="I185" s="739"/>
      <c r="J185" s="740"/>
      <c r="K185" s="740"/>
      <c r="L185" s="740"/>
      <c r="M185" s="739"/>
      <c r="N185" s="739"/>
      <c r="O185" s="739"/>
      <c r="P185" s="739"/>
      <c r="Q185" s="739"/>
      <c r="R185" s="739"/>
      <c r="S185" s="739"/>
      <c r="T185" s="739"/>
      <c r="U185" s="739"/>
      <c r="V185" s="739"/>
      <c r="W185" s="739"/>
      <c r="X185" s="739"/>
      <c r="Y185" s="739"/>
      <c r="Z185" s="739"/>
      <c r="AA185" s="739"/>
    </row>
    <row r="186" spans="2:27" ht="15.75" customHeight="1" x14ac:dyDescent="0.25">
      <c r="B186" s="739"/>
      <c r="C186" s="739"/>
      <c r="D186" s="739"/>
      <c r="E186" s="739"/>
      <c r="F186" s="739"/>
      <c r="G186" s="739"/>
      <c r="H186" s="739"/>
      <c r="I186" s="739"/>
      <c r="J186" s="740"/>
      <c r="K186" s="740"/>
      <c r="L186" s="740"/>
      <c r="M186" s="739"/>
      <c r="N186" s="739"/>
      <c r="O186" s="739"/>
      <c r="P186" s="739"/>
      <c r="Q186" s="739"/>
      <c r="R186" s="739"/>
      <c r="S186" s="739"/>
      <c r="T186" s="739"/>
      <c r="U186" s="739"/>
      <c r="V186" s="739"/>
      <c r="W186" s="739"/>
      <c r="X186" s="739"/>
      <c r="Y186" s="739"/>
      <c r="Z186" s="739"/>
      <c r="AA186" s="739"/>
    </row>
    <row r="187" spans="2:27" ht="15.75" customHeight="1" x14ac:dyDescent="0.25">
      <c r="B187" s="739"/>
      <c r="C187" s="739"/>
      <c r="D187" s="739"/>
      <c r="E187" s="739"/>
      <c r="F187" s="739"/>
      <c r="G187" s="739"/>
      <c r="H187" s="739"/>
      <c r="I187" s="739"/>
      <c r="J187" s="740"/>
      <c r="K187" s="740"/>
      <c r="L187" s="740"/>
      <c r="M187" s="739"/>
      <c r="N187" s="739"/>
      <c r="O187" s="739"/>
      <c r="P187" s="739"/>
      <c r="Q187" s="739"/>
      <c r="R187" s="739"/>
      <c r="S187" s="739"/>
      <c r="T187" s="739"/>
      <c r="U187" s="739"/>
      <c r="V187" s="739"/>
      <c r="W187" s="739"/>
      <c r="X187" s="739"/>
      <c r="Y187" s="739"/>
      <c r="Z187" s="739"/>
      <c r="AA187" s="739"/>
    </row>
    <row r="188" spans="2:27" ht="15.75" customHeight="1" x14ac:dyDescent="0.25">
      <c r="B188" s="739"/>
      <c r="C188" s="739"/>
      <c r="D188" s="739"/>
      <c r="E188" s="739"/>
      <c r="F188" s="739"/>
      <c r="G188" s="739"/>
      <c r="H188" s="739"/>
      <c r="I188" s="739"/>
      <c r="J188" s="740"/>
      <c r="K188" s="740"/>
      <c r="L188" s="740"/>
      <c r="M188" s="739"/>
      <c r="N188" s="739"/>
      <c r="O188" s="739"/>
      <c r="P188" s="739"/>
      <c r="Q188" s="739"/>
      <c r="R188" s="739"/>
      <c r="S188" s="739"/>
      <c r="T188" s="739"/>
      <c r="U188" s="739"/>
      <c r="V188" s="739"/>
      <c r="W188" s="739"/>
      <c r="X188" s="739"/>
      <c r="Y188" s="739"/>
      <c r="Z188" s="739"/>
      <c r="AA188" s="739"/>
    </row>
    <row r="189" spans="2:27" ht="15.75" customHeight="1" x14ac:dyDescent="0.25">
      <c r="B189" s="739"/>
      <c r="C189" s="739"/>
      <c r="D189" s="739"/>
      <c r="E189" s="739"/>
      <c r="F189" s="739"/>
      <c r="G189" s="739"/>
      <c r="H189" s="739"/>
      <c r="I189" s="739"/>
      <c r="J189" s="740"/>
      <c r="K189" s="740"/>
      <c r="L189" s="740"/>
      <c r="M189" s="739"/>
      <c r="N189" s="739"/>
      <c r="O189" s="739"/>
      <c r="P189" s="739"/>
      <c r="Q189" s="739"/>
      <c r="R189" s="739"/>
      <c r="S189" s="739"/>
      <c r="T189" s="739"/>
      <c r="U189" s="739"/>
      <c r="V189" s="739"/>
      <c r="W189" s="739"/>
      <c r="X189" s="739"/>
      <c r="Y189" s="739"/>
      <c r="Z189" s="739"/>
      <c r="AA189" s="739"/>
    </row>
    <row r="190" spans="2:27" ht="15.75" customHeight="1" x14ac:dyDescent="0.25">
      <c r="B190" s="739"/>
      <c r="C190" s="739"/>
      <c r="D190" s="739"/>
      <c r="E190" s="739"/>
      <c r="F190" s="739"/>
      <c r="G190" s="739"/>
      <c r="H190" s="739"/>
      <c r="I190" s="739"/>
      <c r="J190" s="740"/>
      <c r="K190" s="740"/>
      <c r="L190" s="740"/>
      <c r="M190" s="739"/>
      <c r="N190" s="739"/>
      <c r="O190" s="739"/>
      <c r="P190" s="739"/>
      <c r="Q190" s="739"/>
      <c r="R190" s="739"/>
      <c r="S190" s="739"/>
      <c r="T190" s="739"/>
      <c r="U190" s="739"/>
      <c r="V190" s="739"/>
      <c r="W190" s="739"/>
      <c r="X190" s="739"/>
      <c r="Y190" s="739"/>
      <c r="Z190" s="739"/>
      <c r="AA190" s="739"/>
    </row>
    <row r="191" spans="2:27" ht="15.75" customHeight="1" x14ac:dyDescent="0.25">
      <c r="B191" s="739"/>
      <c r="C191" s="739"/>
      <c r="D191" s="739"/>
      <c r="E191" s="739"/>
      <c r="F191" s="739"/>
      <c r="G191" s="739"/>
      <c r="H191" s="739"/>
      <c r="I191" s="739"/>
      <c r="J191" s="740"/>
      <c r="K191" s="740"/>
      <c r="L191" s="740"/>
      <c r="M191" s="739"/>
      <c r="N191" s="739"/>
      <c r="O191" s="739"/>
      <c r="P191" s="739"/>
      <c r="Q191" s="739"/>
      <c r="R191" s="739"/>
      <c r="S191" s="739"/>
      <c r="T191" s="739"/>
      <c r="U191" s="739"/>
      <c r="V191" s="739"/>
      <c r="W191" s="739"/>
      <c r="X191" s="739"/>
      <c r="Y191" s="739"/>
      <c r="Z191" s="739"/>
      <c r="AA191" s="739"/>
    </row>
    <row r="192" spans="2:27" ht="15.75" customHeight="1" x14ac:dyDescent="0.25">
      <c r="B192" s="739"/>
      <c r="C192" s="739"/>
      <c r="D192" s="739"/>
      <c r="E192" s="739"/>
      <c r="F192" s="739"/>
      <c r="G192" s="739"/>
      <c r="H192" s="739"/>
      <c r="I192" s="739"/>
      <c r="J192" s="740"/>
      <c r="K192" s="740"/>
      <c r="L192" s="740"/>
      <c r="M192" s="739"/>
      <c r="N192" s="739"/>
      <c r="O192" s="739"/>
      <c r="P192" s="739"/>
      <c r="Q192" s="739"/>
      <c r="R192" s="739"/>
      <c r="S192" s="739"/>
      <c r="T192" s="739"/>
      <c r="U192" s="739"/>
      <c r="V192" s="739"/>
      <c r="W192" s="739"/>
      <c r="X192" s="739"/>
      <c r="Y192" s="739"/>
      <c r="Z192" s="739"/>
      <c r="AA192" s="739"/>
    </row>
    <row r="193" spans="2:27" ht="15.75" customHeight="1" x14ac:dyDescent="0.25">
      <c r="B193" s="739"/>
      <c r="C193" s="739"/>
      <c r="D193" s="739"/>
      <c r="E193" s="739"/>
      <c r="F193" s="739"/>
      <c r="G193" s="739"/>
      <c r="H193" s="739"/>
      <c r="I193" s="739"/>
      <c r="J193" s="740"/>
      <c r="K193" s="740"/>
      <c r="L193" s="740"/>
      <c r="M193" s="739"/>
      <c r="N193" s="739"/>
      <c r="O193" s="739"/>
      <c r="P193" s="739"/>
      <c r="Q193" s="739"/>
      <c r="R193" s="739"/>
      <c r="S193" s="739"/>
      <c r="T193" s="739"/>
      <c r="U193" s="739"/>
      <c r="V193" s="739"/>
      <c r="W193" s="739"/>
      <c r="X193" s="739"/>
      <c r="Y193" s="739"/>
      <c r="Z193" s="739"/>
      <c r="AA193" s="739"/>
    </row>
    <row r="194" spans="2:27" ht="15.75" customHeight="1" x14ac:dyDescent="0.25">
      <c r="B194" s="739"/>
      <c r="C194" s="739"/>
      <c r="D194" s="739"/>
      <c r="E194" s="739"/>
      <c r="F194" s="739"/>
      <c r="G194" s="739"/>
      <c r="H194" s="739"/>
      <c r="I194" s="739"/>
      <c r="J194" s="740"/>
      <c r="K194" s="740"/>
      <c r="L194" s="740"/>
      <c r="M194" s="739"/>
      <c r="N194" s="739"/>
      <c r="O194" s="739"/>
      <c r="P194" s="739"/>
      <c r="Q194" s="739"/>
      <c r="R194" s="739"/>
      <c r="S194" s="739"/>
      <c r="T194" s="739"/>
      <c r="U194" s="739"/>
      <c r="V194" s="739"/>
      <c r="W194" s="739"/>
      <c r="X194" s="739"/>
      <c r="Y194" s="739"/>
      <c r="Z194" s="739"/>
      <c r="AA194" s="739"/>
    </row>
    <row r="195" spans="2:27" ht="15.75" customHeight="1" x14ac:dyDescent="0.25">
      <c r="B195" s="739"/>
      <c r="C195" s="739"/>
      <c r="D195" s="739"/>
      <c r="E195" s="739"/>
      <c r="F195" s="739"/>
      <c r="G195" s="739"/>
      <c r="H195" s="739"/>
      <c r="I195" s="739"/>
      <c r="J195" s="740"/>
      <c r="K195" s="740"/>
      <c r="L195" s="740"/>
      <c r="M195" s="739"/>
      <c r="N195" s="739"/>
      <c r="O195" s="739"/>
      <c r="P195" s="739"/>
      <c r="Q195" s="739"/>
      <c r="R195" s="739"/>
      <c r="S195" s="739"/>
      <c r="T195" s="739"/>
      <c r="U195" s="739"/>
      <c r="V195" s="739"/>
      <c r="W195" s="739"/>
      <c r="X195" s="739"/>
      <c r="Y195" s="739"/>
      <c r="Z195" s="739"/>
      <c r="AA195" s="739"/>
    </row>
    <row r="196" spans="2:27" ht="15.75" customHeight="1" x14ac:dyDescent="0.25">
      <c r="B196" s="739"/>
      <c r="C196" s="739"/>
      <c r="D196" s="739"/>
      <c r="E196" s="739"/>
      <c r="F196" s="739"/>
      <c r="G196" s="739"/>
      <c r="H196" s="739"/>
      <c r="I196" s="739"/>
      <c r="J196" s="740"/>
      <c r="K196" s="740"/>
      <c r="L196" s="740"/>
      <c r="M196" s="739"/>
      <c r="N196" s="739"/>
      <c r="O196" s="739"/>
      <c r="P196" s="739"/>
      <c r="Q196" s="739"/>
      <c r="R196" s="739"/>
      <c r="S196" s="739"/>
      <c r="T196" s="739"/>
      <c r="U196" s="739"/>
      <c r="V196" s="739"/>
      <c r="W196" s="739"/>
      <c r="X196" s="739"/>
      <c r="Y196" s="739"/>
      <c r="Z196" s="739"/>
      <c r="AA196" s="739"/>
    </row>
    <row r="197" spans="2:27" ht="15.75" customHeight="1" x14ac:dyDescent="0.25">
      <c r="B197" s="739"/>
      <c r="C197" s="739"/>
      <c r="D197" s="739"/>
      <c r="E197" s="739"/>
      <c r="F197" s="739"/>
      <c r="G197" s="739"/>
      <c r="H197" s="739"/>
      <c r="I197" s="739"/>
      <c r="J197" s="740"/>
      <c r="K197" s="740"/>
      <c r="L197" s="740"/>
      <c r="M197" s="739"/>
      <c r="N197" s="739"/>
      <c r="O197" s="739"/>
      <c r="P197" s="739"/>
      <c r="Q197" s="739"/>
      <c r="R197" s="739"/>
      <c r="S197" s="739"/>
      <c r="T197" s="739"/>
      <c r="U197" s="739"/>
      <c r="V197" s="739"/>
      <c r="W197" s="739"/>
      <c r="X197" s="739"/>
      <c r="Y197" s="739"/>
      <c r="Z197" s="739"/>
      <c r="AA197" s="739"/>
    </row>
    <row r="198" spans="2:27" ht="15.75" customHeight="1" x14ac:dyDescent="0.25">
      <c r="B198" s="739"/>
      <c r="C198" s="739"/>
      <c r="D198" s="739"/>
      <c r="E198" s="739"/>
      <c r="F198" s="739"/>
      <c r="G198" s="739"/>
      <c r="H198" s="739"/>
      <c r="I198" s="739"/>
      <c r="J198" s="740"/>
      <c r="K198" s="740"/>
      <c r="L198" s="740"/>
      <c r="M198" s="739"/>
      <c r="N198" s="739"/>
      <c r="O198" s="739"/>
      <c r="P198" s="739"/>
      <c r="Q198" s="739"/>
      <c r="R198" s="739"/>
      <c r="S198" s="739"/>
      <c r="T198" s="739"/>
      <c r="U198" s="739"/>
      <c r="V198" s="739"/>
      <c r="W198" s="739"/>
      <c r="X198" s="739"/>
      <c r="Y198" s="739"/>
      <c r="Z198" s="739"/>
      <c r="AA198" s="739"/>
    </row>
    <row r="199" spans="2:27" ht="15.75" customHeight="1" x14ac:dyDescent="0.25">
      <c r="B199" s="739"/>
      <c r="C199" s="739"/>
      <c r="D199" s="739"/>
      <c r="E199" s="739"/>
      <c r="F199" s="739"/>
      <c r="G199" s="739"/>
      <c r="H199" s="739"/>
      <c r="I199" s="739"/>
      <c r="J199" s="740"/>
      <c r="K199" s="740"/>
      <c r="L199" s="740"/>
      <c r="M199" s="739"/>
      <c r="N199" s="739"/>
      <c r="O199" s="739"/>
      <c r="P199" s="739"/>
      <c r="Q199" s="739"/>
      <c r="R199" s="739"/>
      <c r="S199" s="739"/>
      <c r="T199" s="739"/>
      <c r="U199" s="739"/>
      <c r="V199" s="739"/>
      <c r="W199" s="739"/>
      <c r="X199" s="739"/>
      <c r="Y199" s="739"/>
      <c r="Z199" s="739"/>
      <c r="AA199" s="739"/>
    </row>
    <row r="200" spans="2:27" ht="15.75" customHeight="1" x14ac:dyDescent="0.25">
      <c r="B200" s="739"/>
      <c r="C200" s="739"/>
      <c r="D200" s="739"/>
      <c r="E200" s="739"/>
      <c r="F200" s="739"/>
      <c r="G200" s="739"/>
      <c r="H200" s="739"/>
      <c r="I200" s="739"/>
      <c r="J200" s="740"/>
      <c r="K200" s="740"/>
      <c r="L200" s="740"/>
      <c r="M200" s="739"/>
      <c r="N200" s="739"/>
      <c r="O200" s="739"/>
      <c r="P200" s="739"/>
      <c r="Q200" s="739"/>
      <c r="R200" s="739"/>
      <c r="S200" s="739"/>
      <c r="T200" s="739"/>
      <c r="U200" s="739"/>
      <c r="V200" s="739"/>
      <c r="W200" s="739"/>
      <c r="X200" s="739"/>
      <c r="Y200" s="739"/>
      <c r="Z200" s="739"/>
      <c r="AA200" s="739"/>
    </row>
    <row r="201" spans="2:27" ht="15.75" customHeight="1" x14ac:dyDescent="0.25">
      <c r="B201" s="739"/>
      <c r="C201" s="739"/>
      <c r="D201" s="739"/>
      <c r="E201" s="739"/>
      <c r="F201" s="739"/>
      <c r="G201" s="739"/>
      <c r="H201" s="739"/>
      <c r="I201" s="739"/>
      <c r="J201" s="740"/>
      <c r="K201" s="740"/>
      <c r="L201" s="740"/>
      <c r="M201" s="739"/>
      <c r="N201" s="739"/>
      <c r="O201" s="739"/>
      <c r="P201" s="739"/>
      <c r="Q201" s="739"/>
      <c r="R201" s="739"/>
      <c r="S201" s="739"/>
      <c r="T201" s="739"/>
      <c r="U201" s="739"/>
      <c r="V201" s="739"/>
      <c r="W201" s="739"/>
      <c r="X201" s="739"/>
      <c r="Y201" s="739"/>
      <c r="Z201" s="739"/>
      <c r="AA201" s="739"/>
    </row>
    <row r="202" spans="2:27" ht="15.75" customHeight="1" x14ac:dyDescent="0.25">
      <c r="B202" s="739"/>
      <c r="C202" s="739"/>
      <c r="D202" s="739"/>
      <c r="E202" s="739"/>
      <c r="F202" s="739"/>
      <c r="G202" s="739"/>
      <c r="H202" s="739"/>
      <c r="I202" s="739"/>
      <c r="J202" s="740"/>
      <c r="K202" s="740"/>
      <c r="L202" s="740"/>
      <c r="M202" s="739"/>
      <c r="N202" s="739"/>
      <c r="O202" s="739"/>
      <c r="P202" s="739"/>
      <c r="Q202" s="739"/>
      <c r="R202" s="739"/>
      <c r="S202" s="739"/>
      <c r="T202" s="739"/>
      <c r="U202" s="739"/>
      <c r="V202" s="739"/>
      <c r="W202" s="739"/>
      <c r="X202" s="739"/>
      <c r="Y202" s="739"/>
      <c r="Z202" s="739"/>
      <c r="AA202" s="739"/>
    </row>
    <row r="203" spans="2:27" ht="15.75" customHeight="1" x14ac:dyDescent="0.25">
      <c r="B203" s="739"/>
      <c r="C203" s="739"/>
      <c r="D203" s="739"/>
      <c r="E203" s="739"/>
      <c r="F203" s="739"/>
      <c r="G203" s="739"/>
      <c r="H203" s="739"/>
      <c r="I203" s="739"/>
      <c r="J203" s="740"/>
      <c r="K203" s="740"/>
      <c r="L203" s="740"/>
      <c r="M203" s="739"/>
      <c r="N203" s="739"/>
      <c r="O203" s="739"/>
      <c r="P203" s="739"/>
      <c r="Q203" s="739"/>
      <c r="R203" s="739"/>
      <c r="S203" s="739"/>
      <c r="T203" s="739"/>
      <c r="U203" s="739"/>
      <c r="V203" s="739"/>
      <c r="W203" s="739"/>
      <c r="X203" s="739"/>
      <c r="Y203" s="739"/>
      <c r="Z203" s="739"/>
      <c r="AA203" s="739"/>
    </row>
    <row r="204" spans="2:27" ht="15.75" customHeight="1" x14ac:dyDescent="0.25">
      <c r="B204" s="739"/>
      <c r="C204" s="739"/>
      <c r="D204" s="739"/>
      <c r="E204" s="739"/>
      <c r="F204" s="739"/>
      <c r="G204" s="739"/>
      <c r="H204" s="739"/>
      <c r="I204" s="739"/>
      <c r="J204" s="740"/>
      <c r="K204" s="740"/>
      <c r="L204" s="740"/>
      <c r="M204" s="739"/>
      <c r="N204" s="739"/>
      <c r="O204" s="739"/>
      <c r="P204" s="739"/>
      <c r="Q204" s="739"/>
      <c r="R204" s="739"/>
      <c r="S204" s="739"/>
      <c r="T204" s="739"/>
      <c r="U204" s="739"/>
      <c r="V204" s="739"/>
      <c r="W204" s="739"/>
      <c r="X204" s="739"/>
      <c r="Y204" s="739"/>
      <c r="Z204" s="739"/>
      <c r="AA204" s="739"/>
    </row>
    <row r="205" spans="2:27" ht="15.75" customHeight="1" x14ac:dyDescent="0.25">
      <c r="B205" s="739"/>
      <c r="C205" s="739"/>
      <c r="D205" s="739"/>
      <c r="E205" s="739"/>
      <c r="F205" s="739"/>
      <c r="G205" s="739"/>
      <c r="H205" s="739"/>
      <c r="I205" s="739"/>
      <c r="J205" s="740"/>
      <c r="K205" s="740"/>
      <c r="L205" s="740"/>
      <c r="M205" s="739"/>
      <c r="N205" s="739"/>
      <c r="O205" s="739"/>
      <c r="P205" s="739"/>
      <c r="Q205" s="739"/>
      <c r="R205" s="739"/>
      <c r="S205" s="739"/>
      <c r="T205" s="739"/>
      <c r="U205" s="739"/>
      <c r="V205" s="739"/>
      <c r="W205" s="739"/>
      <c r="X205" s="739"/>
      <c r="Y205" s="739"/>
      <c r="Z205" s="739"/>
      <c r="AA205" s="739"/>
    </row>
    <row r="206" spans="2:27" ht="15.75" customHeight="1" x14ac:dyDescent="0.25">
      <c r="B206" s="739"/>
      <c r="C206" s="739"/>
      <c r="D206" s="739"/>
      <c r="E206" s="739"/>
      <c r="F206" s="739"/>
      <c r="G206" s="739"/>
      <c r="H206" s="739"/>
      <c r="I206" s="739"/>
      <c r="J206" s="740"/>
      <c r="K206" s="740"/>
      <c r="L206" s="740"/>
      <c r="M206" s="739"/>
      <c r="N206" s="739"/>
      <c r="O206" s="739"/>
      <c r="P206" s="739"/>
      <c r="Q206" s="739"/>
      <c r="R206" s="739"/>
      <c r="S206" s="739"/>
      <c r="T206" s="739"/>
      <c r="U206" s="739"/>
      <c r="V206" s="739"/>
      <c r="W206" s="739"/>
      <c r="X206" s="739"/>
      <c r="Y206" s="739"/>
      <c r="Z206" s="739"/>
      <c r="AA206" s="739"/>
    </row>
    <row r="207" spans="2:27" ht="15.75" customHeight="1" x14ac:dyDescent="0.25">
      <c r="B207" s="739"/>
      <c r="C207" s="739"/>
      <c r="D207" s="739"/>
      <c r="E207" s="739"/>
      <c r="F207" s="739"/>
      <c r="G207" s="739"/>
      <c r="H207" s="739"/>
      <c r="I207" s="739"/>
      <c r="J207" s="740"/>
      <c r="K207" s="740"/>
      <c r="L207" s="740"/>
      <c r="M207" s="739"/>
      <c r="N207" s="739"/>
      <c r="O207" s="739"/>
      <c r="P207" s="739"/>
      <c r="Q207" s="739"/>
      <c r="R207" s="739"/>
      <c r="S207" s="739"/>
      <c r="T207" s="739"/>
      <c r="U207" s="739"/>
      <c r="V207" s="739"/>
      <c r="W207" s="739"/>
      <c r="X207" s="739"/>
      <c r="Y207" s="739"/>
      <c r="Z207" s="739"/>
      <c r="AA207" s="739"/>
    </row>
    <row r="208" spans="2:27" ht="15.75" customHeight="1" x14ac:dyDescent="0.25">
      <c r="B208" s="739"/>
      <c r="C208" s="739"/>
      <c r="D208" s="739"/>
      <c r="E208" s="739"/>
      <c r="F208" s="739"/>
      <c r="G208" s="739"/>
      <c r="H208" s="739"/>
      <c r="I208" s="739"/>
      <c r="J208" s="740"/>
      <c r="K208" s="740"/>
      <c r="L208" s="740"/>
      <c r="M208" s="739"/>
      <c r="N208" s="739"/>
      <c r="O208" s="739"/>
      <c r="P208" s="739"/>
      <c r="Q208" s="739"/>
      <c r="R208" s="739"/>
      <c r="S208" s="739"/>
      <c r="T208" s="739"/>
      <c r="U208" s="739"/>
      <c r="V208" s="739"/>
      <c r="W208" s="739"/>
      <c r="X208" s="739"/>
      <c r="Y208" s="739"/>
      <c r="Z208" s="739"/>
      <c r="AA208" s="739"/>
    </row>
    <row r="209" spans="2:27" ht="15.75" customHeight="1" x14ac:dyDescent="0.25">
      <c r="B209" s="739"/>
      <c r="C209" s="739"/>
      <c r="D209" s="739"/>
      <c r="E209" s="739"/>
      <c r="F209" s="739"/>
      <c r="G209" s="739"/>
      <c r="H209" s="739"/>
      <c r="I209" s="739"/>
      <c r="J209" s="740"/>
      <c r="K209" s="740"/>
      <c r="L209" s="740"/>
      <c r="M209" s="739"/>
      <c r="N209" s="739"/>
      <c r="O209" s="739"/>
      <c r="P209" s="739"/>
      <c r="Q209" s="739"/>
      <c r="R209" s="739"/>
      <c r="S209" s="739"/>
      <c r="T209" s="739"/>
      <c r="U209" s="739"/>
      <c r="V209" s="739"/>
      <c r="W209" s="739"/>
      <c r="X209" s="739"/>
      <c r="Y209" s="739"/>
      <c r="Z209" s="739"/>
      <c r="AA209" s="739"/>
    </row>
    <row r="210" spans="2:27" ht="15.75" customHeight="1" x14ac:dyDescent="0.25">
      <c r="B210" s="739"/>
      <c r="C210" s="739"/>
      <c r="D210" s="739"/>
      <c r="E210" s="739"/>
      <c r="F210" s="739"/>
      <c r="G210" s="739"/>
      <c r="H210" s="739"/>
      <c r="I210" s="739"/>
      <c r="J210" s="740"/>
      <c r="K210" s="740"/>
      <c r="L210" s="740"/>
      <c r="M210" s="739"/>
      <c r="N210" s="739"/>
      <c r="O210" s="739"/>
      <c r="P210" s="739"/>
      <c r="Q210" s="739"/>
      <c r="R210" s="739"/>
      <c r="S210" s="739"/>
      <c r="T210" s="739"/>
      <c r="U210" s="739"/>
      <c r="V210" s="739"/>
      <c r="W210" s="739"/>
      <c r="X210" s="739"/>
      <c r="Y210" s="739"/>
      <c r="Z210" s="739"/>
      <c r="AA210" s="739"/>
    </row>
    <row r="211" spans="2:27" ht="15.75" customHeight="1" x14ac:dyDescent="0.25">
      <c r="B211" s="739"/>
      <c r="C211" s="739"/>
      <c r="D211" s="739"/>
      <c r="E211" s="739"/>
      <c r="F211" s="739"/>
      <c r="G211" s="739"/>
      <c r="H211" s="739"/>
      <c r="I211" s="739"/>
      <c r="J211" s="740"/>
      <c r="K211" s="740"/>
      <c r="L211" s="740"/>
      <c r="M211" s="739"/>
      <c r="N211" s="739"/>
      <c r="O211" s="739"/>
      <c r="P211" s="739"/>
      <c r="Q211" s="739"/>
      <c r="R211" s="739"/>
      <c r="S211" s="739"/>
      <c r="T211" s="739"/>
      <c r="U211" s="739"/>
      <c r="V211" s="739"/>
      <c r="W211" s="739"/>
      <c r="X211" s="739"/>
      <c r="Y211" s="739"/>
      <c r="Z211" s="739"/>
      <c r="AA211" s="739"/>
    </row>
    <row r="212" spans="2:27" ht="15.75" customHeight="1" x14ac:dyDescent="0.25">
      <c r="B212" s="739"/>
      <c r="C212" s="739"/>
      <c r="D212" s="739"/>
      <c r="E212" s="739"/>
      <c r="F212" s="739"/>
      <c r="G212" s="739"/>
      <c r="H212" s="739"/>
      <c r="I212" s="739"/>
      <c r="J212" s="740"/>
      <c r="K212" s="740"/>
      <c r="L212" s="740"/>
      <c r="M212" s="739"/>
      <c r="N212" s="739"/>
      <c r="O212" s="739"/>
      <c r="P212" s="739"/>
      <c r="Q212" s="739"/>
      <c r="R212" s="739"/>
      <c r="S212" s="739"/>
      <c r="T212" s="739"/>
      <c r="U212" s="739"/>
      <c r="V212" s="739"/>
      <c r="W212" s="739"/>
      <c r="X212" s="739"/>
      <c r="Y212" s="739"/>
      <c r="Z212" s="739"/>
      <c r="AA212" s="739"/>
    </row>
    <row r="213" spans="2:27" ht="15.75" customHeight="1" x14ac:dyDescent="0.25">
      <c r="B213" s="739"/>
      <c r="C213" s="739"/>
      <c r="D213" s="739"/>
      <c r="E213" s="739"/>
      <c r="F213" s="739"/>
      <c r="G213" s="739"/>
      <c r="H213" s="739"/>
      <c r="I213" s="739"/>
      <c r="J213" s="740"/>
      <c r="K213" s="740"/>
      <c r="L213" s="740"/>
      <c r="M213" s="739"/>
      <c r="N213" s="739"/>
      <c r="O213" s="739"/>
      <c r="P213" s="739"/>
      <c r="Q213" s="739"/>
      <c r="R213" s="739"/>
      <c r="S213" s="739"/>
      <c r="T213" s="739"/>
      <c r="U213" s="739"/>
      <c r="V213" s="739"/>
      <c r="W213" s="739"/>
      <c r="X213" s="739"/>
      <c r="Y213" s="739"/>
      <c r="Z213" s="739"/>
      <c r="AA213" s="739"/>
    </row>
    <row r="214" spans="2:27" ht="15.75" customHeight="1" x14ac:dyDescent="0.25">
      <c r="B214" s="739"/>
      <c r="C214" s="739"/>
      <c r="D214" s="739"/>
      <c r="E214" s="739"/>
      <c r="F214" s="739"/>
      <c r="G214" s="739"/>
      <c r="H214" s="739"/>
      <c r="I214" s="739"/>
      <c r="J214" s="740"/>
      <c r="K214" s="740"/>
      <c r="L214" s="740"/>
      <c r="M214" s="739"/>
      <c r="N214" s="739"/>
      <c r="O214" s="739"/>
      <c r="P214" s="739"/>
      <c r="Q214" s="739"/>
      <c r="R214" s="739"/>
      <c r="S214" s="739"/>
      <c r="T214" s="739"/>
      <c r="U214" s="739"/>
      <c r="V214" s="739"/>
      <c r="W214" s="739"/>
      <c r="X214" s="739"/>
      <c r="Y214" s="739"/>
      <c r="Z214" s="739"/>
      <c r="AA214" s="739"/>
    </row>
    <row r="215" spans="2:27" ht="15.75" customHeight="1" x14ac:dyDescent="0.25">
      <c r="B215" s="739"/>
      <c r="C215" s="739"/>
      <c r="D215" s="739"/>
      <c r="E215" s="739"/>
      <c r="F215" s="739"/>
      <c r="G215" s="739"/>
      <c r="H215" s="739"/>
      <c r="I215" s="739"/>
      <c r="J215" s="740"/>
      <c r="K215" s="740"/>
      <c r="L215" s="740"/>
      <c r="M215" s="739"/>
      <c r="N215" s="739"/>
      <c r="O215" s="739"/>
      <c r="P215" s="739"/>
      <c r="Q215" s="739"/>
      <c r="R215" s="739"/>
      <c r="S215" s="739"/>
      <c r="T215" s="739"/>
      <c r="U215" s="739"/>
      <c r="V215" s="739"/>
      <c r="W215" s="739"/>
      <c r="X215" s="739"/>
      <c r="Y215" s="739"/>
      <c r="Z215" s="739"/>
      <c r="AA215" s="739"/>
    </row>
    <row r="216" spans="2:27" ht="15.75" customHeight="1" x14ac:dyDescent="0.25">
      <c r="B216" s="739"/>
      <c r="C216" s="739"/>
      <c r="D216" s="739"/>
      <c r="E216" s="739"/>
      <c r="F216" s="739"/>
      <c r="G216" s="739"/>
      <c r="H216" s="739"/>
      <c r="I216" s="739"/>
      <c r="J216" s="740"/>
      <c r="K216" s="740"/>
      <c r="L216" s="740"/>
      <c r="M216" s="739"/>
      <c r="N216" s="739"/>
      <c r="O216" s="739"/>
      <c r="P216" s="739"/>
      <c r="Q216" s="739"/>
      <c r="R216" s="739"/>
      <c r="S216" s="739"/>
      <c r="T216" s="739"/>
      <c r="U216" s="739"/>
      <c r="V216" s="739"/>
      <c r="W216" s="739"/>
      <c r="X216" s="739"/>
      <c r="Y216" s="739"/>
      <c r="Z216" s="739"/>
      <c r="AA216" s="739"/>
    </row>
    <row r="217" spans="2:27" ht="15.75" customHeight="1" x14ac:dyDescent="0.25">
      <c r="B217" s="739"/>
      <c r="C217" s="739"/>
      <c r="D217" s="739"/>
      <c r="E217" s="739"/>
      <c r="F217" s="739"/>
      <c r="G217" s="739"/>
      <c r="H217" s="739"/>
      <c r="I217" s="739"/>
      <c r="J217" s="740"/>
      <c r="K217" s="740"/>
      <c r="L217" s="740"/>
      <c r="M217" s="739"/>
      <c r="N217" s="739"/>
      <c r="O217" s="739"/>
      <c r="P217" s="739"/>
      <c r="Q217" s="739"/>
      <c r="R217" s="739"/>
      <c r="S217" s="739"/>
      <c r="T217" s="739"/>
      <c r="U217" s="739"/>
      <c r="V217" s="739"/>
      <c r="W217" s="739"/>
      <c r="X217" s="739"/>
      <c r="Y217" s="739"/>
      <c r="Z217" s="739"/>
      <c r="AA217" s="739"/>
    </row>
    <row r="218" spans="2:27" ht="15.75" customHeight="1" x14ac:dyDescent="0.25">
      <c r="B218" s="739"/>
      <c r="C218" s="739"/>
      <c r="D218" s="739"/>
      <c r="E218" s="739"/>
      <c r="F218" s="739"/>
      <c r="G218" s="739"/>
      <c r="H218" s="739"/>
      <c r="I218" s="739"/>
      <c r="J218" s="740"/>
      <c r="K218" s="740"/>
      <c r="L218" s="740"/>
      <c r="M218" s="739"/>
      <c r="N218" s="739"/>
      <c r="O218" s="739"/>
      <c r="P218" s="739"/>
      <c r="Q218" s="739"/>
      <c r="R218" s="739"/>
      <c r="S218" s="739"/>
      <c r="T218" s="739"/>
      <c r="U218" s="739"/>
      <c r="V218" s="739"/>
      <c r="W218" s="739"/>
      <c r="X218" s="739"/>
      <c r="Y218" s="739"/>
      <c r="Z218" s="739"/>
      <c r="AA218" s="739"/>
    </row>
    <row r="219" spans="2:27" ht="15.75" customHeight="1" x14ac:dyDescent="0.25">
      <c r="B219" s="739"/>
      <c r="C219" s="739"/>
      <c r="D219" s="739"/>
      <c r="E219" s="739"/>
      <c r="F219" s="739"/>
      <c r="G219" s="739"/>
      <c r="H219" s="739"/>
      <c r="I219" s="739"/>
      <c r="J219" s="740"/>
      <c r="K219" s="740"/>
      <c r="L219" s="740"/>
      <c r="M219" s="739"/>
      <c r="N219" s="739"/>
      <c r="O219" s="739"/>
      <c r="P219" s="739"/>
      <c r="Q219" s="739"/>
      <c r="R219" s="739"/>
      <c r="S219" s="739"/>
      <c r="T219" s="739"/>
      <c r="U219" s="739"/>
      <c r="V219" s="739"/>
      <c r="W219" s="739"/>
      <c r="X219" s="739"/>
      <c r="Y219" s="739"/>
      <c r="Z219" s="739"/>
      <c r="AA219" s="739"/>
    </row>
    <row r="220" spans="2:27" ht="15.75" customHeight="1" x14ac:dyDescent="0.25">
      <c r="B220" s="739"/>
      <c r="C220" s="739"/>
      <c r="D220" s="739"/>
      <c r="E220" s="739"/>
      <c r="F220" s="739"/>
      <c r="G220" s="739"/>
      <c r="H220" s="739"/>
      <c r="I220" s="739"/>
      <c r="J220" s="740"/>
      <c r="K220" s="740"/>
      <c r="L220" s="740"/>
      <c r="M220" s="739"/>
      <c r="N220" s="739"/>
      <c r="O220" s="739"/>
      <c r="P220" s="739"/>
      <c r="Q220" s="739"/>
      <c r="R220" s="739"/>
      <c r="S220" s="739"/>
      <c r="T220" s="739"/>
      <c r="U220" s="739"/>
      <c r="V220" s="739"/>
      <c r="W220" s="739"/>
      <c r="X220" s="739"/>
      <c r="Y220" s="739"/>
      <c r="Z220" s="739"/>
      <c r="AA220" s="739"/>
    </row>
    <row r="221" spans="2:27" ht="15.75" customHeight="1" x14ac:dyDescent="0.25">
      <c r="B221" s="739"/>
      <c r="C221" s="739"/>
      <c r="D221" s="739"/>
      <c r="E221" s="739"/>
      <c r="F221" s="739"/>
      <c r="G221" s="739"/>
      <c r="H221" s="739"/>
      <c r="I221" s="739"/>
      <c r="J221" s="740"/>
      <c r="K221" s="740"/>
      <c r="L221" s="740"/>
      <c r="M221" s="739"/>
      <c r="N221" s="739"/>
      <c r="O221" s="739"/>
      <c r="P221" s="739"/>
      <c r="Q221" s="739"/>
      <c r="R221" s="739"/>
      <c r="S221" s="739"/>
      <c r="T221" s="739"/>
      <c r="U221" s="739"/>
      <c r="V221" s="739"/>
      <c r="W221" s="739"/>
      <c r="X221" s="739"/>
      <c r="Y221" s="739"/>
      <c r="Z221" s="739"/>
      <c r="AA221" s="739"/>
    </row>
    <row r="222" spans="2:27" ht="15.75" customHeight="1" x14ac:dyDescent="0.25">
      <c r="B222" s="739"/>
      <c r="C222" s="739"/>
      <c r="D222" s="739"/>
      <c r="E222" s="739"/>
      <c r="F222" s="739"/>
      <c r="G222" s="739"/>
      <c r="H222" s="739"/>
      <c r="I222" s="739"/>
      <c r="J222" s="740"/>
      <c r="K222" s="740"/>
      <c r="L222" s="740"/>
      <c r="M222" s="739"/>
      <c r="N222" s="739"/>
      <c r="O222" s="739"/>
      <c r="P222" s="739"/>
      <c r="Q222" s="739"/>
      <c r="R222" s="739"/>
      <c r="S222" s="739"/>
      <c r="T222" s="739"/>
      <c r="U222" s="739"/>
      <c r="V222" s="739"/>
      <c r="W222" s="739"/>
      <c r="X222" s="739"/>
      <c r="Y222" s="739"/>
      <c r="Z222" s="739"/>
      <c r="AA222" s="739"/>
    </row>
    <row r="223" spans="2:27" ht="15.75" customHeight="1" x14ac:dyDescent="0.25">
      <c r="B223" s="739"/>
      <c r="C223" s="739"/>
      <c r="D223" s="739"/>
      <c r="E223" s="739"/>
      <c r="F223" s="739"/>
      <c r="G223" s="739"/>
      <c r="H223" s="739"/>
      <c r="I223" s="739"/>
      <c r="J223" s="740"/>
      <c r="K223" s="740"/>
      <c r="L223" s="740"/>
      <c r="M223" s="739"/>
      <c r="N223" s="739"/>
      <c r="O223" s="739"/>
      <c r="P223" s="739"/>
      <c r="Q223" s="739"/>
      <c r="R223" s="739"/>
      <c r="S223" s="739"/>
      <c r="T223" s="739"/>
      <c r="U223" s="739"/>
      <c r="V223" s="739"/>
      <c r="W223" s="739"/>
      <c r="X223" s="739"/>
      <c r="Y223" s="739"/>
      <c r="Z223" s="739"/>
      <c r="AA223" s="739"/>
    </row>
    <row r="224" spans="2:27" ht="15.75" customHeight="1" x14ac:dyDescent="0.25">
      <c r="B224" s="739"/>
      <c r="C224" s="739"/>
      <c r="D224" s="739"/>
      <c r="E224" s="739"/>
      <c r="F224" s="739"/>
      <c r="G224" s="739"/>
      <c r="H224" s="739"/>
      <c r="I224" s="739"/>
      <c r="J224" s="740"/>
      <c r="K224" s="740"/>
      <c r="L224" s="740"/>
      <c r="M224" s="739"/>
      <c r="N224" s="739"/>
      <c r="O224" s="739"/>
      <c r="P224" s="739"/>
      <c r="Q224" s="739"/>
      <c r="R224" s="739"/>
      <c r="S224" s="739"/>
      <c r="T224" s="739"/>
      <c r="U224" s="739"/>
      <c r="V224" s="739"/>
      <c r="W224" s="739"/>
      <c r="X224" s="739"/>
      <c r="Y224" s="739"/>
      <c r="Z224" s="739"/>
      <c r="AA224" s="739"/>
    </row>
    <row r="225" spans="2:27" ht="15.75" customHeight="1" x14ac:dyDescent="0.25">
      <c r="B225" s="739"/>
      <c r="C225" s="739"/>
      <c r="D225" s="739"/>
      <c r="E225" s="739"/>
      <c r="F225" s="739"/>
      <c r="G225" s="739"/>
      <c r="H225" s="739"/>
      <c r="I225" s="739"/>
      <c r="J225" s="740"/>
      <c r="K225" s="740"/>
      <c r="L225" s="740"/>
      <c r="M225" s="739"/>
      <c r="N225" s="739"/>
      <c r="O225" s="739"/>
      <c r="P225" s="739"/>
      <c r="Q225" s="739"/>
      <c r="R225" s="739"/>
      <c r="S225" s="739"/>
      <c r="T225" s="739"/>
      <c r="U225" s="739"/>
      <c r="V225" s="739"/>
      <c r="W225" s="739"/>
      <c r="X225" s="739"/>
      <c r="Y225" s="739"/>
      <c r="Z225" s="739"/>
      <c r="AA225" s="739"/>
    </row>
    <row r="226" spans="2:27" ht="15.75" customHeight="1" x14ac:dyDescent="0.25">
      <c r="B226" s="739"/>
      <c r="C226" s="739"/>
      <c r="D226" s="739"/>
      <c r="E226" s="739"/>
      <c r="F226" s="739"/>
      <c r="G226" s="739"/>
      <c r="H226" s="739"/>
      <c r="I226" s="739"/>
      <c r="J226" s="740"/>
      <c r="K226" s="740"/>
      <c r="L226" s="740"/>
      <c r="M226" s="739"/>
      <c r="N226" s="739"/>
      <c r="O226" s="739"/>
      <c r="P226" s="739"/>
      <c r="Q226" s="739"/>
      <c r="R226" s="739"/>
      <c r="S226" s="739"/>
      <c r="T226" s="739"/>
      <c r="U226" s="739"/>
      <c r="V226" s="739"/>
      <c r="W226" s="739"/>
      <c r="X226" s="739"/>
      <c r="Y226" s="739"/>
      <c r="Z226" s="739"/>
      <c r="AA226" s="739"/>
    </row>
    <row r="227" spans="2:27" ht="15.75" customHeight="1" x14ac:dyDescent="0.25">
      <c r="B227" s="739"/>
      <c r="C227" s="739"/>
      <c r="D227" s="739"/>
      <c r="E227" s="739"/>
      <c r="F227" s="739"/>
      <c r="G227" s="739"/>
      <c r="H227" s="739"/>
      <c r="I227" s="739"/>
      <c r="J227" s="740"/>
      <c r="K227" s="740"/>
      <c r="L227" s="740"/>
      <c r="M227" s="739"/>
      <c r="N227" s="739"/>
      <c r="O227" s="739"/>
      <c r="P227" s="739"/>
      <c r="Q227" s="739"/>
      <c r="R227" s="739"/>
      <c r="S227" s="739"/>
      <c r="T227" s="739"/>
      <c r="U227" s="739"/>
      <c r="V227" s="739"/>
      <c r="W227" s="739"/>
      <c r="X227" s="739"/>
      <c r="Y227" s="739"/>
      <c r="Z227" s="739"/>
      <c r="AA227" s="739"/>
    </row>
    <row r="228" spans="2:27" ht="15.75" customHeight="1" x14ac:dyDescent="0.25">
      <c r="B228" s="739"/>
      <c r="C228" s="739"/>
      <c r="D228" s="739"/>
      <c r="E228" s="739"/>
      <c r="F228" s="739"/>
      <c r="G228" s="739"/>
      <c r="H228" s="739"/>
      <c r="I228" s="739"/>
      <c r="J228" s="740"/>
      <c r="K228" s="740"/>
      <c r="L228" s="740"/>
      <c r="M228" s="739"/>
      <c r="N228" s="739"/>
      <c r="O228" s="739"/>
      <c r="P228" s="739"/>
      <c r="Q228" s="739"/>
      <c r="R228" s="739"/>
      <c r="S228" s="739"/>
      <c r="T228" s="739"/>
      <c r="U228" s="739"/>
      <c r="V228" s="739"/>
      <c r="W228" s="739"/>
      <c r="X228" s="739"/>
      <c r="Y228" s="739"/>
      <c r="Z228" s="739"/>
      <c r="AA228" s="739"/>
    </row>
    <row r="229" spans="2:27" ht="15.75" customHeight="1" x14ac:dyDescent="0.25">
      <c r="B229" s="739"/>
      <c r="C229" s="739"/>
      <c r="D229" s="739"/>
      <c r="E229" s="739"/>
      <c r="F229" s="739"/>
      <c r="G229" s="739"/>
      <c r="H229" s="739"/>
      <c r="I229" s="739"/>
      <c r="J229" s="740"/>
      <c r="K229" s="740"/>
      <c r="L229" s="740"/>
      <c r="M229" s="739"/>
      <c r="N229" s="739"/>
      <c r="O229" s="739"/>
      <c r="P229" s="739"/>
      <c r="Q229" s="739"/>
      <c r="R229" s="739"/>
      <c r="S229" s="739"/>
      <c r="T229" s="739"/>
      <c r="U229" s="739"/>
      <c r="V229" s="739"/>
      <c r="W229" s="739"/>
      <c r="X229" s="739"/>
      <c r="Y229" s="739"/>
      <c r="Z229" s="739"/>
      <c r="AA229" s="739"/>
    </row>
    <row r="230" spans="2:27" ht="15.75" customHeight="1" x14ac:dyDescent="0.25">
      <c r="B230" s="739"/>
      <c r="C230" s="739"/>
      <c r="D230" s="739"/>
      <c r="E230" s="739"/>
      <c r="F230" s="739"/>
      <c r="G230" s="739"/>
      <c r="H230" s="739"/>
      <c r="I230" s="739"/>
      <c r="J230" s="740"/>
      <c r="K230" s="740"/>
      <c r="L230" s="740"/>
      <c r="M230" s="739"/>
      <c r="N230" s="739"/>
      <c r="O230" s="739"/>
      <c r="P230" s="739"/>
      <c r="Q230" s="739"/>
      <c r="R230" s="739"/>
      <c r="S230" s="739"/>
      <c r="T230" s="739"/>
      <c r="U230" s="739"/>
      <c r="V230" s="739"/>
      <c r="W230" s="739"/>
      <c r="X230" s="739"/>
      <c r="Y230" s="739"/>
      <c r="Z230" s="739"/>
      <c r="AA230" s="739"/>
    </row>
    <row r="231" spans="2:27" ht="15.75" customHeight="1" x14ac:dyDescent="0.25">
      <c r="B231" s="739"/>
      <c r="C231" s="739"/>
      <c r="D231" s="739"/>
      <c r="E231" s="739"/>
      <c r="F231" s="739"/>
      <c r="G231" s="739"/>
      <c r="H231" s="739"/>
      <c r="I231" s="739"/>
      <c r="J231" s="740"/>
      <c r="K231" s="740"/>
      <c r="L231" s="740"/>
      <c r="M231" s="739"/>
      <c r="N231" s="739"/>
      <c r="O231" s="739"/>
      <c r="P231" s="739"/>
      <c r="Q231" s="739"/>
      <c r="R231" s="739"/>
      <c r="S231" s="739"/>
      <c r="T231" s="739"/>
      <c r="U231" s="739"/>
      <c r="V231" s="739"/>
      <c r="W231" s="739"/>
      <c r="X231" s="739"/>
      <c r="Y231" s="739"/>
      <c r="Z231" s="739"/>
      <c r="AA231" s="739"/>
    </row>
    <row r="232" spans="2:27" ht="15.75" customHeight="1" x14ac:dyDescent="0.25">
      <c r="B232" s="739"/>
      <c r="C232" s="739"/>
      <c r="D232" s="739"/>
      <c r="E232" s="739"/>
      <c r="F232" s="739"/>
      <c r="G232" s="739"/>
      <c r="H232" s="739"/>
      <c r="I232" s="739"/>
      <c r="J232" s="740"/>
      <c r="K232" s="740"/>
      <c r="L232" s="740"/>
      <c r="M232" s="739"/>
      <c r="N232" s="739"/>
      <c r="O232" s="739"/>
      <c r="P232" s="739"/>
      <c r="Q232" s="739"/>
      <c r="R232" s="739"/>
      <c r="S232" s="739"/>
      <c r="T232" s="739"/>
      <c r="U232" s="739"/>
      <c r="V232" s="739"/>
      <c r="W232" s="739"/>
      <c r="X232" s="739"/>
      <c r="Y232" s="739"/>
      <c r="Z232" s="739"/>
      <c r="AA232" s="739"/>
    </row>
    <row r="233" spans="2:27" ht="15.75" customHeight="1" x14ac:dyDescent="0.25">
      <c r="B233" s="739"/>
      <c r="C233" s="739"/>
      <c r="D233" s="739"/>
      <c r="E233" s="739"/>
      <c r="F233" s="739"/>
      <c r="G233" s="739"/>
      <c r="H233" s="739"/>
      <c r="I233" s="739"/>
      <c r="J233" s="740"/>
      <c r="K233" s="740"/>
      <c r="L233" s="740"/>
      <c r="M233" s="739"/>
      <c r="N233" s="739"/>
      <c r="O233" s="739"/>
      <c r="P233" s="739"/>
      <c r="Q233" s="739"/>
      <c r="R233" s="739"/>
      <c r="S233" s="739"/>
      <c r="T233" s="739"/>
      <c r="U233" s="739"/>
      <c r="V233" s="739"/>
      <c r="W233" s="739"/>
      <c r="X233" s="739"/>
      <c r="Y233" s="739"/>
      <c r="Z233" s="739"/>
      <c r="AA233" s="739"/>
    </row>
    <row r="234" spans="2:27" ht="15.75" customHeight="1" x14ac:dyDescent="0.25">
      <c r="B234" s="739"/>
      <c r="C234" s="739"/>
      <c r="D234" s="739"/>
      <c r="E234" s="739"/>
      <c r="F234" s="739"/>
      <c r="G234" s="739"/>
      <c r="H234" s="739"/>
      <c r="I234" s="739"/>
      <c r="J234" s="740"/>
      <c r="K234" s="740"/>
      <c r="L234" s="740"/>
      <c r="M234" s="739"/>
      <c r="N234" s="739"/>
      <c r="O234" s="739"/>
      <c r="P234" s="739"/>
      <c r="Q234" s="739"/>
      <c r="R234" s="739"/>
      <c r="S234" s="739"/>
      <c r="T234" s="739"/>
      <c r="U234" s="739"/>
      <c r="V234" s="739"/>
      <c r="W234" s="739"/>
      <c r="X234" s="739"/>
      <c r="Y234" s="739"/>
      <c r="Z234" s="739"/>
      <c r="AA234" s="739"/>
    </row>
    <row r="235" spans="2:27" ht="15.75" customHeight="1" x14ac:dyDescent="0.25">
      <c r="B235" s="739"/>
      <c r="C235" s="739"/>
      <c r="D235" s="739"/>
      <c r="E235" s="739"/>
      <c r="F235" s="739"/>
      <c r="G235" s="739"/>
      <c r="H235" s="739"/>
      <c r="I235" s="739"/>
      <c r="J235" s="740"/>
      <c r="K235" s="740"/>
      <c r="L235" s="740"/>
      <c r="M235" s="739"/>
      <c r="N235" s="739"/>
      <c r="O235" s="739"/>
      <c r="P235" s="739"/>
      <c r="Q235" s="739"/>
      <c r="R235" s="739"/>
      <c r="S235" s="739"/>
      <c r="T235" s="739"/>
      <c r="U235" s="739"/>
      <c r="V235" s="739"/>
      <c r="W235" s="739"/>
      <c r="X235" s="739"/>
      <c r="Y235" s="739"/>
      <c r="Z235" s="739"/>
      <c r="AA235" s="739"/>
    </row>
    <row r="236" spans="2:27" ht="15.75" customHeight="1" x14ac:dyDescent="0.25">
      <c r="B236" s="739"/>
      <c r="C236" s="739"/>
      <c r="D236" s="739"/>
      <c r="E236" s="739"/>
      <c r="F236" s="739"/>
      <c r="G236" s="739"/>
      <c r="H236" s="739"/>
      <c r="I236" s="739"/>
      <c r="J236" s="740"/>
      <c r="K236" s="740"/>
      <c r="L236" s="740"/>
      <c r="M236" s="739"/>
      <c r="N236" s="739"/>
      <c r="O236" s="739"/>
      <c r="P236" s="739"/>
      <c r="Q236" s="739"/>
      <c r="R236" s="739"/>
      <c r="S236" s="739"/>
      <c r="T236" s="739"/>
      <c r="U236" s="739"/>
      <c r="V236" s="739"/>
      <c r="W236" s="739"/>
      <c r="X236" s="739"/>
      <c r="Y236" s="739"/>
      <c r="Z236" s="739"/>
      <c r="AA236" s="739"/>
    </row>
    <row r="237" spans="2:27" ht="15.75" customHeight="1" x14ac:dyDescent="0.25">
      <c r="B237" s="739"/>
      <c r="C237" s="739"/>
      <c r="D237" s="739"/>
      <c r="E237" s="739"/>
      <c r="F237" s="739"/>
      <c r="G237" s="739"/>
      <c r="H237" s="739"/>
      <c r="I237" s="739"/>
      <c r="J237" s="740"/>
      <c r="K237" s="740"/>
      <c r="L237" s="740"/>
      <c r="M237" s="739"/>
      <c r="N237" s="739"/>
      <c r="O237" s="739"/>
      <c r="P237" s="739"/>
      <c r="Q237" s="739"/>
      <c r="R237" s="739"/>
      <c r="S237" s="739"/>
      <c r="T237" s="739"/>
      <c r="U237" s="739"/>
      <c r="V237" s="739"/>
      <c r="W237" s="739"/>
      <c r="X237" s="739"/>
      <c r="Y237" s="739"/>
      <c r="Z237" s="739"/>
      <c r="AA237" s="739"/>
    </row>
    <row r="238" spans="2:27" ht="15.75" customHeight="1" x14ac:dyDescent="0.25">
      <c r="B238" s="739"/>
      <c r="C238" s="739"/>
      <c r="D238" s="739"/>
      <c r="E238" s="739"/>
      <c r="F238" s="739"/>
      <c r="G238" s="739"/>
      <c r="H238" s="739"/>
      <c r="I238" s="739"/>
      <c r="J238" s="740"/>
      <c r="K238" s="740"/>
      <c r="L238" s="740"/>
      <c r="M238" s="739"/>
      <c r="N238" s="739"/>
      <c r="O238" s="739"/>
      <c r="P238" s="739"/>
      <c r="Q238" s="739"/>
      <c r="R238" s="739"/>
      <c r="S238" s="739"/>
      <c r="T238" s="739"/>
      <c r="U238" s="739"/>
      <c r="V238" s="739"/>
      <c r="W238" s="739"/>
      <c r="X238" s="739"/>
      <c r="Y238" s="739"/>
      <c r="Z238" s="739"/>
      <c r="AA238" s="739"/>
    </row>
    <row r="239" spans="2:27" ht="15.75" customHeight="1" x14ac:dyDescent="0.25">
      <c r="B239" s="739"/>
      <c r="C239" s="739"/>
      <c r="D239" s="739"/>
      <c r="E239" s="739"/>
      <c r="F239" s="739"/>
      <c r="G239" s="739"/>
      <c r="H239" s="739"/>
      <c r="I239" s="739"/>
      <c r="J239" s="740"/>
      <c r="K239" s="740"/>
      <c r="L239" s="740"/>
      <c r="M239" s="739"/>
      <c r="N239" s="739"/>
      <c r="O239" s="739"/>
      <c r="P239" s="739"/>
      <c r="Q239" s="739"/>
      <c r="R239" s="739"/>
      <c r="S239" s="739"/>
      <c r="T239" s="739"/>
      <c r="U239" s="739"/>
      <c r="V239" s="739"/>
      <c r="W239" s="739"/>
      <c r="X239" s="739"/>
      <c r="Y239" s="739"/>
      <c r="Z239" s="739"/>
      <c r="AA239" s="739"/>
    </row>
    <row r="240" spans="2:27" ht="15.75" customHeight="1" x14ac:dyDescent="0.25">
      <c r="B240" s="739"/>
      <c r="C240" s="739"/>
      <c r="D240" s="739"/>
      <c r="E240" s="739"/>
      <c r="F240" s="739"/>
      <c r="G240" s="739"/>
      <c r="H240" s="739"/>
      <c r="I240" s="739"/>
      <c r="J240" s="740"/>
      <c r="K240" s="740"/>
      <c r="L240" s="740"/>
      <c r="M240" s="739"/>
      <c r="N240" s="739"/>
      <c r="O240" s="739"/>
      <c r="P240" s="739"/>
      <c r="Q240" s="739"/>
      <c r="R240" s="739"/>
      <c r="S240" s="739"/>
      <c r="T240" s="739"/>
      <c r="U240" s="739"/>
      <c r="V240" s="739"/>
      <c r="W240" s="739"/>
      <c r="X240" s="739"/>
      <c r="Y240" s="739"/>
      <c r="Z240" s="739"/>
      <c r="AA240" s="739"/>
    </row>
    <row r="241" spans="2:27" ht="15.75" customHeight="1" x14ac:dyDescent="0.25">
      <c r="B241" s="739"/>
      <c r="C241" s="739"/>
      <c r="D241" s="739"/>
      <c r="E241" s="739"/>
      <c r="F241" s="739"/>
      <c r="G241" s="739"/>
      <c r="H241" s="739"/>
      <c r="I241" s="739"/>
      <c r="J241" s="740"/>
      <c r="K241" s="740"/>
      <c r="L241" s="740"/>
      <c r="M241" s="739"/>
      <c r="N241" s="739"/>
      <c r="O241" s="739"/>
      <c r="P241" s="739"/>
      <c r="Q241" s="739"/>
      <c r="R241" s="739"/>
      <c r="S241" s="739"/>
      <c r="T241" s="739"/>
      <c r="U241" s="739"/>
      <c r="V241" s="739"/>
      <c r="W241" s="739"/>
      <c r="X241" s="739"/>
      <c r="Y241" s="739"/>
      <c r="Z241" s="739"/>
      <c r="AA241" s="739"/>
    </row>
    <row r="242" spans="2:27" ht="15.75" customHeight="1" x14ac:dyDescent="0.25">
      <c r="B242" s="739"/>
      <c r="C242" s="739"/>
      <c r="D242" s="739"/>
      <c r="E242" s="739"/>
      <c r="F242" s="739"/>
      <c r="G242" s="739"/>
      <c r="H242" s="739"/>
      <c r="I242" s="739"/>
      <c r="J242" s="740"/>
      <c r="K242" s="740"/>
      <c r="L242" s="740"/>
      <c r="M242" s="739"/>
      <c r="N242" s="739"/>
      <c r="O242" s="739"/>
      <c r="P242" s="739"/>
      <c r="Q242" s="739"/>
      <c r="R242" s="739"/>
      <c r="S242" s="739"/>
      <c r="T242" s="739"/>
      <c r="U242" s="739"/>
      <c r="V242" s="739"/>
      <c r="W242" s="739"/>
      <c r="X242" s="739"/>
      <c r="Y242" s="739"/>
      <c r="Z242" s="739"/>
      <c r="AA242" s="739"/>
    </row>
    <row r="243" spans="2:27" ht="15.75" customHeight="1" x14ac:dyDescent="0.25">
      <c r="B243" s="739"/>
      <c r="C243" s="739"/>
      <c r="D243" s="739"/>
      <c r="E243" s="739"/>
      <c r="F243" s="739"/>
      <c r="G243" s="739"/>
      <c r="H243" s="739"/>
      <c r="I243" s="739"/>
      <c r="J243" s="740"/>
      <c r="K243" s="740"/>
      <c r="L243" s="740"/>
      <c r="M243" s="739"/>
      <c r="N243" s="739"/>
      <c r="O243" s="739"/>
      <c r="P243" s="739"/>
      <c r="Q243" s="739"/>
      <c r="R243" s="739"/>
      <c r="S243" s="739"/>
      <c r="T243" s="739"/>
      <c r="U243" s="739"/>
      <c r="V243" s="739"/>
      <c r="W243" s="739"/>
      <c r="X243" s="739"/>
      <c r="Y243" s="739"/>
      <c r="Z243" s="739"/>
      <c r="AA243" s="739"/>
    </row>
    <row r="244" spans="2:27" ht="15.75" customHeight="1" x14ac:dyDescent="0.25">
      <c r="B244" s="739"/>
      <c r="C244" s="739"/>
      <c r="D244" s="739"/>
      <c r="E244" s="739"/>
      <c r="F244" s="739"/>
      <c r="G244" s="739"/>
      <c r="H244" s="739"/>
      <c r="I244" s="739"/>
      <c r="J244" s="740"/>
      <c r="K244" s="740"/>
      <c r="L244" s="740"/>
      <c r="M244" s="739"/>
      <c r="N244" s="739"/>
      <c r="O244" s="739"/>
      <c r="P244" s="739"/>
      <c r="Q244" s="739"/>
      <c r="R244" s="739"/>
      <c r="S244" s="739"/>
      <c r="T244" s="739"/>
      <c r="U244" s="739"/>
      <c r="V244" s="739"/>
      <c r="W244" s="739"/>
      <c r="X244" s="739"/>
      <c r="Y244" s="739"/>
      <c r="Z244" s="739"/>
      <c r="AA244" s="739"/>
    </row>
    <row r="245" spans="2:27" ht="15.75" customHeight="1" x14ac:dyDescent="0.25">
      <c r="B245" s="739"/>
      <c r="C245" s="739"/>
      <c r="D245" s="739"/>
      <c r="E245" s="739"/>
      <c r="F245" s="739"/>
      <c r="G245" s="739"/>
      <c r="H245" s="739"/>
      <c r="I245" s="739"/>
      <c r="J245" s="740"/>
      <c r="K245" s="740"/>
      <c r="L245" s="740"/>
      <c r="M245" s="739"/>
      <c r="N245" s="739"/>
      <c r="O245" s="739"/>
      <c r="P245" s="739"/>
      <c r="Q245" s="739"/>
      <c r="R245" s="739"/>
      <c r="S245" s="739"/>
      <c r="T245" s="739"/>
      <c r="U245" s="739"/>
      <c r="V245" s="739"/>
      <c r="W245" s="739"/>
      <c r="X245" s="739"/>
      <c r="Y245" s="739"/>
      <c r="Z245" s="739"/>
      <c r="AA245" s="739"/>
    </row>
    <row r="246" spans="2:27" ht="15.75" customHeight="1" x14ac:dyDescent="0.25">
      <c r="B246" s="739"/>
      <c r="C246" s="739"/>
      <c r="D246" s="739"/>
      <c r="E246" s="739"/>
      <c r="F246" s="739"/>
      <c r="G246" s="739"/>
      <c r="H246" s="739"/>
      <c r="I246" s="739"/>
      <c r="J246" s="740"/>
      <c r="K246" s="740"/>
      <c r="L246" s="740"/>
      <c r="M246" s="739"/>
      <c r="N246" s="739"/>
      <c r="O246" s="739"/>
      <c r="P246" s="739"/>
      <c r="Q246" s="739"/>
      <c r="R246" s="739"/>
      <c r="S246" s="739"/>
      <c r="T246" s="739"/>
      <c r="U246" s="739"/>
      <c r="V246" s="739"/>
      <c r="W246" s="739"/>
      <c r="X246" s="739"/>
      <c r="Y246" s="739"/>
      <c r="Z246" s="739"/>
      <c r="AA246" s="739"/>
    </row>
    <row r="247" spans="2:27" ht="15.75" customHeight="1" x14ac:dyDescent="0.25">
      <c r="B247" s="739"/>
      <c r="C247" s="739"/>
      <c r="D247" s="739"/>
      <c r="E247" s="739"/>
      <c r="F247" s="739"/>
      <c r="G247" s="739"/>
      <c r="H247" s="739"/>
      <c r="I247" s="739"/>
      <c r="J247" s="740"/>
      <c r="K247" s="740"/>
      <c r="L247" s="740"/>
      <c r="M247" s="739"/>
      <c r="N247" s="739"/>
      <c r="O247" s="739"/>
      <c r="P247" s="739"/>
      <c r="Q247" s="739"/>
      <c r="R247" s="739"/>
      <c r="S247" s="739"/>
      <c r="T247" s="739"/>
      <c r="U247" s="739"/>
      <c r="V247" s="739"/>
      <c r="W247" s="739"/>
      <c r="X247" s="739"/>
      <c r="Y247" s="739"/>
      <c r="Z247" s="739"/>
      <c r="AA247" s="739"/>
    </row>
    <row r="248" spans="2:27" ht="15.75" customHeight="1" x14ac:dyDescent="0.25">
      <c r="B248" s="739"/>
      <c r="C248" s="739"/>
      <c r="D248" s="739"/>
      <c r="E248" s="739"/>
      <c r="F248" s="739"/>
      <c r="G248" s="739"/>
      <c r="H248" s="739"/>
      <c r="I248" s="739"/>
      <c r="J248" s="740"/>
      <c r="K248" s="740"/>
      <c r="L248" s="740"/>
      <c r="M248" s="739"/>
      <c r="N248" s="739"/>
      <c r="O248" s="739"/>
      <c r="P248" s="739"/>
      <c r="Q248" s="739"/>
      <c r="R248" s="739"/>
      <c r="S248" s="739"/>
      <c r="T248" s="739"/>
      <c r="U248" s="739"/>
      <c r="V248" s="739"/>
      <c r="W248" s="739"/>
      <c r="X248" s="739"/>
      <c r="Y248" s="739"/>
      <c r="Z248" s="739"/>
      <c r="AA248" s="739"/>
    </row>
    <row r="249" spans="2:27" ht="15.75" customHeight="1" x14ac:dyDescent="0.25">
      <c r="B249" s="739"/>
      <c r="C249" s="739"/>
      <c r="D249" s="739"/>
      <c r="E249" s="739"/>
      <c r="F249" s="739"/>
      <c r="G249" s="739"/>
      <c r="H249" s="739"/>
      <c r="I249" s="739"/>
      <c r="J249" s="740"/>
      <c r="K249" s="740"/>
      <c r="L249" s="740"/>
      <c r="M249" s="739"/>
      <c r="N249" s="739"/>
      <c r="O249" s="739"/>
      <c r="P249" s="739"/>
      <c r="Q249" s="739"/>
      <c r="R249" s="739"/>
      <c r="S249" s="739"/>
      <c r="T249" s="739"/>
      <c r="U249" s="739"/>
      <c r="V249" s="739"/>
      <c r="W249" s="739"/>
      <c r="X249" s="739"/>
      <c r="Y249" s="739"/>
      <c r="Z249" s="739"/>
      <c r="AA249" s="739"/>
    </row>
    <row r="250" spans="2:27" ht="15.75" customHeight="1" x14ac:dyDescent="0.25">
      <c r="B250" s="739"/>
      <c r="C250" s="739"/>
      <c r="D250" s="739"/>
      <c r="E250" s="739"/>
      <c r="F250" s="739"/>
      <c r="G250" s="739"/>
      <c r="H250" s="739"/>
      <c r="I250" s="739"/>
      <c r="J250" s="740"/>
      <c r="K250" s="740"/>
      <c r="L250" s="740"/>
      <c r="M250" s="739"/>
      <c r="N250" s="739"/>
      <c r="O250" s="739"/>
      <c r="P250" s="739"/>
      <c r="Q250" s="739"/>
      <c r="R250" s="739"/>
      <c r="S250" s="739"/>
      <c r="T250" s="739"/>
      <c r="U250" s="739"/>
      <c r="V250" s="739"/>
      <c r="W250" s="739"/>
      <c r="X250" s="739"/>
      <c r="Y250" s="739"/>
      <c r="Z250" s="739"/>
      <c r="AA250" s="739"/>
    </row>
    <row r="251" spans="2:27" ht="15.75" customHeight="1" x14ac:dyDescent="0.25">
      <c r="B251" s="739"/>
      <c r="C251" s="739"/>
      <c r="D251" s="739"/>
      <c r="E251" s="739"/>
      <c r="F251" s="739"/>
      <c r="G251" s="739"/>
      <c r="H251" s="739"/>
      <c r="I251" s="739"/>
      <c r="J251" s="740"/>
      <c r="K251" s="740"/>
      <c r="L251" s="740"/>
      <c r="M251" s="739"/>
      <c r="N251" s="739"/>
      <c r="O251" s="739"/>
      <c r="P251" s="739"/>
      <c r="Q251" s="739"/>
      <c r="R251" s="739"/>
      <c r="S251" s="739"/>
      <c r="T251" s="739"/>
      <c r="U251" s="739"/>
      <c r="V251" s="739"/>
      <c r="W251" s="739"/>
      <c r="X251" s="739"/>
      <c r="Y251" s="739"/>
      <c r="Z251" s="739"/>
      <c r="AA251" s="739"/>
    </row>
    <row r="252" spans="2:27" ht="15.75" customHeight="1" x14ac:dyDescent="0.25">
      <c r="B252" s="739"/>
      <c r="C252" s="739"/>
      <c r="D252" s="739"/>
      <c r="E252" s="739"/>
      <c r="F252" s="739"/>
      <c r="G252" s="739"/>
      <c r="H252" s="739"/>
      <c r="I252" s="739"/>
      <c r="J252" s="740"/>
      <c r="K252" s="740"/>
      <c r="L252" s="740"/>
      <c r="M252" s="739"/>
      <c r="N252" s="739"/>
      <c r="O252" s="739"/>
      <c r="P252" s="739"/>
      <c r="Q252" s="739"/>
      <c r="R252" s="739"/>
      <c r="S252" s="739"/>
      <c r="T252" s="739"/>
      <c r="U252" s="739"/>
      <c r="V252" s="739"/>
      <c r="W252" s="739"/>
      <c r="X252" s="739"/>
      <c r="Y252" s="739"/>
      <c r="Z252" s="739"/>
      <c r="AA252" s="739"/>
    </row>
    <row r="253" spans="2:27" ht="15.75" customHeight="1" x14ac:dyDescent="0.25">
      <c r="B253" s="739"/>
      <c r="C253" s="739"/>
      <c r="D253" s="739"/>
      <c r="E253" s="739"/>
      <c r="F253" s="739"/>
      <c r="G253" s="739"/>
      <c r="H253" s="739"/>
      <c r="I253" s="739"/>
      <c r="J253" s="740"/>
      <c r="K253" s="740"/>
      <c r="L253" s="740"/>
      <c r="M253" s="739"/>
      <c r="N253" s="739"/>
      <c r="O253" s="739"/>
      <c r="P253" s="739"/>
      <c r="Q253" s="739"/>
      <c r="R253" s="739"/>
      <c r="S253" s="739"/>
      <c r="T253" s="739"/>
      <c r="U253" s="739"/>
      <c r="V253" s="739"/>
      <c r="W253" s="739"/>
      <c r="X253" s="739"/>
      <c r="Y253" s="739"/>
      <c r="Z253" s="739"/>
      <c r="AA253" s="739"/>
    </row>
    <row r="254" spans="2:27" ht="15.75" customHeight="1" x14ac:dyDescent="0.25">
      <c r="B254" s="739"/>
      <c r="C254" s="739"/>
      <c r="D254" s="739"/>
      <c r="E254" s="739"/>
      <c r="F254" s="739"/>
      <c r="G254" s="739"/>
      <c r="H254" s="739"/>
      <c r="I254" s="739"/>
      <c r="J254" s="740"/>
      <c r="K254" s="740"/>
      <c r="L254" s="740"/>
      <c r="M254" s="739"/>
      <c r="N254" s="739"/>
      <c r="O254" s="739"/>
      <c r="P254" s="739"/>
      <c r="Q254" s="739"/>
      <c r="R254" s="739"/>
      <c r="S254" s="739"/>
      <c r="T254" s="739"/>
      <c r="U254" s="739"/>
      <c r="V254" s="739"/>
      <c r="W254" s="739"/>
      <c r="X254" s="739"/>
      <c r="Y254" s="739"/>
      <c r="Z254" s="739"/>
      <c r="AA254" s="739"/>
    </row>
    <row r="255" spans="2:27" ht="15.75" customHeight="1" x14ac:dyDescent="0.25">
      <c r="B255" s="739"/>
      <c r="C255" s="739"/>
      <c r="D255" s="739"/>
      <c r="E255" s="739"/>
      <c r="F255" s="739"/>
      <c r="G255" s="739"/>
      <c r="H255" s="739"/>
      <c r="I255" s="739"/>
      <c r="J255" s="740"/>
      <c r="K255" s="740"/>
      <c r="L255" s="740"/>
      <c r="M255" s="739"/>
      <c r="N255" s="739"/>
      <c r="O255" s="739"/>
      <c r="P255" s="739"/>
      <c r="Q255" s="739"/>
      <c r="R255" s="739"/>
      <c r="S255" s="739"/>
      <c r="T255" s="739"/>
      <c r="U255" s="739"/>
      <c r="V255" s="739"/>
      <c r="W255" s="739"/>
      <c r="X255" s="739"/>
      <c r="Y255" s="739"/>
      <c r="Z255" s="739"/>
      <c r="AA255" s="739"/>
    </row>
    <row r="256" spans="2:27" ht="15.75" customHeight="1" x14ac:dyDescent="0.25">
      <c r="B256" s="739"/>
      <c r="C256" s="739"/>
      <c r="D256" s="739"/>
      <c r="E256" s="739"/>
      <c r="F256" s="739"/>
      <c r="G256" s="739"/>
      <c r="H256" s="739"/>
      <c r="I256" s="739"/>
      <c r="J256" s="740"/>
      <c r="K256" s="740"/>
      <c r="L256" s="740"/>
      <c r="M256" s="739"/>
      <c r="N256" s="739"/>
      <c r="O256" s="739"/>
      <c r="P256" s="739"/>
      <c r="Q256" s="739"/>
      <c r="R256" s="739"/>
      <c r="S256" s="739"/>
      <c r="T256" s="739"/>
      <c r="U256" s="739"/>
      <c r="V256" s="739"/>
      <c r="W256" s="739"/>
      <c r="X256" s="739"/>
      <c r="Y256" s="739"/>
      <c r="Z256" s="739"/>
      <c r="AA256" s="739"/>
    </row>
    <row r="257" spans="2:27" ht="15.75" customHeight="1" x14ac:dyDescent="0.25">
      <c r="B257" s="739"/>
      <c r="C257" s="739"/>
      <c r="D257" s="739"/>
      <c r="E257" s="739"/>
      <c r="F257" s="739"/>
      <c r="G257" s="739"/>
      <c r="H257" s="739"/>
      <c r="I257" s="739"/>
      <c r="J257" s="740"/>
      <c r="K257" s="740"/>
      <c r="L257" s="740"/>
      <c r="M257" s="739"/>
      <c r="N257" s="739"/>
      <c r="O257" s="739"/>
      <c r="P257" s="739"/>
      <c r="Q257" s="739"/>
      <c r="R257" s="739"/>
      <c r="S257" s="739"/>
      <c r="T257" s="739"/>
      <c r="U257" s="739"/>
      <c r="V257" s="739"/>
      <c r="W257" s="739"/>
      <c r="X257" s="739"/>
      <c r="Y257" s="739"/>
      <c r="Z257" s="739"/>
      <c r="AA257" s="739"/>
    </row>
    <row r="258" spans="2:27" ht="15.75" customHeight="1" x14ac:dyDescent="0.25">
      <c r="B258" s="739"/>
      <c r="C258" s="739"/>
      <c r="D258" s="739"/>
      <c r="E258" s="739"/>
      <c r="F258" s="739"/>
      <c r="G258" s="739"/>
      <c r="H258" s="739"/>
      <c r="I258" s="739"/>
      <c r="J258" s="740"/>
      <c r="K258" s="740"/>
      <c r="L258" s="740"/>
      <c r="M258" s="739"/>
      <c r="N258" s="739"/>
      <c r="O258" s="739"/>
      <c r="P258" s="739"/>
      <c r="Q258" s="739"/>
      <c r="R258" s="739"/>
      <c r="S258" s="739"/>
      <c r="T258" s="739"/>
      <c r="U258" s="739"/>
      <c r="V258" s="739"/>
      <c r="W258" s="739"/>
      <c r="X258" s="739"/>
      <c r="Y258" s="739"/>
      <c r="Z258" s="739"/>
      <c r="AA258" s="739"/>
    </row>
    <row r="259" spans="2:27" ht="15.75" customHeight="1" x14ac:dyDescent="0.25">
      <c r="B259" s="739"/>
      <c r="C259" s="739"/>
      <c r="D259" s="739"/>
      <c r="E259" s="739"/>
      <c r="F259" s="739"/>
      <c r="G259" s="739"/>
      <c r="H259" s="739"/>
      <c r="I259" s="739"/>
      <c r="J259" s="740"/>
      <c r="K259" s="740"/>
      <c r="L259" s="740"/>
      <c r="M259" s="739"/>
      <c r="N259" s="739"/>
      <c r="O259" s="739"/>
      <c r="P259" s="739"/>
      <c r="Q259" s="739"/>
      <c r="R259" s="739"/>
      <c r="S259" s="739"/>
      <c r="T259" s="739"/>
      <c r="U259" s="739"/>
      <c r="V259" s="739"/>
      <c r="W259" s="739"/>
      <c r="X259" s="739"/>
      <c r="Y259" s="739"/>
      <c r="Z259" s="739"/>
      <c r="AA259" s="739"/>
    </row>
    <row r="260" spans="2:27" ht="15.75" customHeight="1" x14ac:dyDescent="0.25">
      <c r="B260" s="739"/>
      <c r="C260" s="739"/>
      <c r="D260" s="739"/>
      <c r="E260" s="739"/>
      <c r="F260" s="739"/>
      <c r="G260" s="739"/>
      <c r="H260" s="739"/>
      <c r="I260" s="739"/>
      <c r="J260" s="740"/>
      <c r="K260" s="740"/>
      <c r="L260" s="740"/>
      <c r="M260" s="739"/>
      <c r="N260" s="739"/>
      <c r="O260" s="739"/>
      <c r="P260" s="739"/>
      <c r="Q260" s="739"/>
      <c r="R260" s="739"/>
      <c r="S260" s="739"/>
      <c r="T260" s="739"/>
      <c r="U260" s="739"/>
      <c r="V260" s="739"/>
      <c r="W260" s="739"/>
      <c r="X260" s="739"/>
      <c r="Y260" s="739"/>
      <c r="Z260" s="739"/>
      <c r="AA260" s="739"/>
    </row>
    <row r="261" spans="2:27" ht="15.75" customHeight="1" x14ac:dyDescent="0.25">
      <c r="B261" s="739"/>
      <c r="C261" s="739"/>
      <c r="D261" s="739"/>
      <c r="E261" s="739"/>
      <c r="F261" s="739"/>
      <c r="G261" s="739"/>
      <c r="H261" s="739"/>
      <c r="I261" s="739"/>
      <c r="J261" s="740"/>
      <c r="K261" s="740"/>
      <c r="L261" s="740"/>
      <c r="M261" s="739"/>
      <c r="N261" s="739"/>
      <c r="O261" s="739"/>
      <c r="P261" s="739"/>
      <c r="Q261" s="739"/>
      <c r="R261" s="739"/>
      <c r="S261" s="739"/>
      <c r="T261" s="739"/>
      <c r="U261" s="739"/>
      <c r="V261" s="739"/>
      <c r="W261" s="739"/>
      <c r="X261" s="739"/>
      <c r="Y261" s="739"/>
      <c r="Z261" s="739"/>
      <c r="AA261" s="739"/>
    </row>
    <row r="262" spans="2:27" ht="15.75" customHeight="1" x14ac:dyDescent="0.25">
      <c r="B262" s="739"/>
      <c r="C262" s="739"/>
      <c r="D262" s="739"/>
      <c r="E262" s="739"/>
      <c r="F262" s="739"/>
      <c r="G262" s="739"/>
      <c r="H262" s="739"/>
      <c r="I262" s="739"/>
      <c r="J262" s="740"/>
      <c r="K262" s="740"/>
      <c r="L262" s="740"/>
      <c r="M262" s="739"/>
      <c r="N262" s="739"/>
      <c r="O262" s="739"/>
      <c r="P262" s="739"/>
      <c r="Q262" s="739"/>
      <c r="R262" s="739"/>
      <c r="S262" s="739"/>
      <c r="T262" s="739"/>
      <c r="U262" s="739"/>
      <c r="V262" s="739"/>
      <c r="W262" s="739"/>
      <c r="X262" s="739"/>
      <c r="Y262" s="739"/>
      <c r="Z262" s="739"/>
      <c r="AA262" s="739"/>
    </row>
    <row r="263" spans="2:27" ht="15.75" customHeight="1" x14ac:dyDescent="0.25">
      <c r="B263" s="739"/>
      <c r="C263" s="739"/>
      <c r="D263" s="739"/>
      <c r="E263" s="739"/>
      <c r="F263" s="739"/>
      <c r="G263" s="739"/>
      <c r="H263" s="739"/>
      <c r="I263" s="739"/>
      <c r="J263" s="740"/>
      <c r="K263" s="740"/>
      <c r="L263" s="740"/>
      <c r="M263" s="739"/>
      <c r="N263" s="739"/>
      <c r="O263" s="739"/>
      <c r="P263" s="739"/>
      <c r="Q263" s="739"/>
      <c r="R263" s="739"/>
      <c r="S263" s="739"/>
      <c r="T263" s="739"/>
      <c r="U263" s="739"/>
      <c r="V263" s="739"/>
      <c r="W263" s="739"/>
      <c r="X263" s="739"/>
      <c r="Y263" s="739"/>
      <c r="Z263" s="739"/>
      <c r="AA263" s="739"/>
    </row>
    <row r="264" spans="2:27" ht="15.75" customHeight="1" x14ac:dyDescent="0.25">
      <c r="B264" s="739"/>
      <c r="C264" s="739"/>
      <c r="D264" s="739"/>
      <c r="E264" s="739"/>
      <c r="F264" s="739"/>
      <c r="G264" s="739"/>
      <c r="H264" s="739"/>
      <c r="I264" s="739"/>
      <c r="J264" s="740"/>
      <c r="K264" s="740"/>
      <c r="L264" s="740"/>
      <c r="M264" s="739"/>
      <c r="N264" s="739"/>
      <c r="O264" s="739"/>
      <c r="P264" s="739"/>
      <c r="Q264" s="739"/>
      <c r="R264" s="739"/>
      <c r="S264" s="739"/>
      <c r="T264" s="739"/>
      <c r="U264" s="739"/>
      <c r="V264" s="739"/>
      <c r="W264" s="739"/>
      <c r="X264" s="739"/>
      <c r="Y264" s="739"/>
      <c r="Z264" s="739"/>
      <c r="AA264" s="739"/>
    </row>
    <row r="265" spans="2:27" ht="15.75" customHeight="1" x14ac:dyDescent="0.25">
      <c r="B265" s="739"/>
      <c r="C265" s="739"/>
      <c r="D265" s="739"/>
      <c r="E265" s="739"/>
      <c r="F265" s="739"/>
      <c r="G265" s="739"/>
      <c r="H265" s="739"/>
      <c r="I265" s="739"/>
      <c r="J265" s="740"/>
      <c r="K265" s="740"/>
      <c r="L265" s="740"/>
      <c r="M265" s="739"/>
      <c r="N265" s="739"/>
      <c r="O265" s="739"/>
      <c r="P265" s="739"/>
      <c r="Q265" s="739"/>
      <c r="R265" s="739"/>
      <c r="S265" s="739"/>
      <c r="T265" s="739"/>
      <c r="U265" s="739"/>
      <c r="V265" s="739"/>
      <c r="W265" s="739"/>
      <c r="X265" s="739"/>
      <c r="Y265" s="739"/>
      <c r="Z265" s="739"/>
      <c r="AA265" s="739"/>
    </row>
    <row r="266" spans="2:27" ht="15.75" customHeight="1" x14ac:dyDescent="0.25">
      <c r="B266" s="739"/>
      <c r="C266" s="739"/>
      <c r="D266" s="739"/>
      <c r="E266" s="739"/>
      <c r="F266" s="739"/>
      <c r="G266" s="739"/>
      <c r="H266" s="739"/>
      <c r="I266" s="739"/>
      <c r="J266" s="740"/>
      <c r="K266" s="740"/>
      <c r="L266" s="740"/>
      <c r="M266" s="739"/>
      <c r="N266" s="739"/>
      <c r="O266" s="739"/>
      <c r="P266" s="739"/>
      <c r="Q266" s="739"/>
      <c r="R266" s="739"/>
      <c r="S266" s="739"/>
      <c r="T266" s="739"/>
      <c r="U266" s="739"/>
      <c r="V266" s="739"/>
      <c r="W266" s="739"/>
      <c r="X266" s="739"/>
      <c r="Y266" s="739"/>
      <c r="Z266" s="739"/>
      <c r="AA266" s="739"/>
    </row>
    <row r="267" spans="2:27" ht="15.75" customHeight="1" x14ac:dyDescent="0.25">
      <c r="B267" s="739"/>
      <c r="C267" s="739"/>
      <c r="D267" s="739"/>
      <c r="E267" s="739"/>
      <c r="F267" s="739"/>
      <c r="G267" s="739"/>
      <c r="H267" s="739"/>
      <c r="I267" s="739"/>
      <c r="J267" s="740"/>
      <c r="K267" s="740"/>
      <c r="L267" s="740"/>
      <c r="M267" s="739"/>
      <c r="N267" s="739"/>
      <c r="O267" s="739"/>
      <c r="P267" s="739"/>
      <c r="Q267" s="739"/>
      <c r="R267" s="739"/>
      <c r="S267" s="739"/>
      <c r="T267" s="739"/>
      <c r="U267" s="739"/>
      <c r="V267" s="739"/>
      <c r="W267" s="739"/>
      <c r="X267" s="739"/>
      <c r="Y267" s="739"/>
      <c r="Z267" s="739"/>
      <c r="AA267" s="739"/>
    </row>
    <row r="268" spans="2:27" ht="15.75" customHeight="1" x14ac:dyDescent="0.25">
      <c r="B268" s="739"/>
      <c r="C268" s="739"/>
      <c r="D268" s="739"/>
      <c r="E268" s="739"/>
      <c r="F268" s="739"/>
      <c r="G268" s="739"/>
      <c r="H268" s="739"/>
      <c r="I268" s="739"/>
      <c r="J268" s="740"/>
      <c r="K268" s="740"/>
      <c r="L268" s="740"/>
      <c r="M268" s="739"/>
      <c r="N268" s="739"/>
      <c r="O268" s="739"/>
      <c r="P268" s="739"/>
      <c r="Q268" s="739"/>
      <c r="R268" s="739"/>
      <c r="S268" s="739"/>
      <c r="T268" s="739"/>
      <c r="U268" s="739"/>
      <c r="V268" s="739"/>
      <c r="W268" s="739"/>
      <c r="X268" s="739"/>
      <c r="Y268" s="739"/>
      <c r="Z268" s="739"/>
      <c r="AA268" s="739"/>
    </row>
  </sheetData>
  <sheetProtection algorithmName="SHA-512" hashValue="IkytCw9193PanCq8ZmRux2IMnYnDYzZr/T2YDzIOgJ6mwiInVpIrqX+1Z31WboeBTVmvG6D0pY70Kf+moLoHMg==" saltValue="x49ZRNqRygo0hVqGprcGOQ==" spinCount="100000" sheet="1" objects="1" scenarios="1" formatCells="0" formatColumns="0" formatRows="0"/>
  <mergeCells count="8">
    <mergeCell ref="A35:A39"/>
    <mergeCell ref="B54:E54"/>
    <mergeCell ref="A1:I1"/>
    <mergeCell ref="B2:C2"/>
    <mergeCell ref="A5:A13"/>
    <mergeCell ref="A14:A15"/>
    <mergeCell ref="A17:A25"/>
    <mergeCell ref="A27:A33"/>
  </mergeCells>
  <pageMargins left="0.25" right="0.25" top="0.75" bottom="0.75" header="0.3" footer="0.3"/>
  <pageSetup scale="48" fitToWidth="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pageSetUpPr fitToPage="1"/>
  </sheetPr>
  <dimension ref="A1:AH220"/>
  <sheetViews>
    <sheetView showGridLines="0" zoomScale="130" zoomScaleNormal="130" workbookViewId="0">
      <selection activeCell="E14" sqref="E14"/>
    </sheetView>
  </sheetViews>
  <sheetFormatPr defaultColWidth="10.7109375" defaultRowHeight="12.75" x14ac:dyDescent="0.2"/>
  <cols>
    <col min="1" max="1" width="0.85546875" style="2" customWidth="1"/>
    <col min="2" max="2" width="10.7109375" style="2" customWidth="1"/>
    <col min="3" max="3" width="7.7109375" style="3" customWidth="1"/>
    <col min="4" max="4" width="8.140625" style="2" customWidth="1"/>
    <col min="5" max="5" width="8.7109375" style="2" customWidth="1"/>
    <col min="6" max="11" width="8.42578125" style="2" customWidth="1"/>
    <col min="12" max="12" width="9" style="2" customWidth="1"/>
    <col min="13" max="13" width="9.7109375" style="2" customWidth="1"/>
    <col min="14" max="15" width="8.28515625" style="2" customWidth="1"/>
    <col min="16" max="18" width="8.42578125" style="2" customWidth="1"/>
    <col min="19" max="21" width="9.28515625" style="3" customWidth="1"/>
    <col min="22" max="22" width="10.140625" style="4" customWidth="1"/>
    <col min="23" max="24" width="10.140625" style="2" hidden="1" customWidth="1"/>
    <col min="25" max="26" width="9.28515625" style="2" hidden="1" customWidth="1"/>
    <col min="27" max="31" width="12.7109375" style="2" hidden="1" customWidth="1"/>
    <col min="32" max="32" width="9.28515625" style="2" customWidth="1"/>
    <col min="33" max="33" width="10.7109375" style="2" customWidth="1"/>
    <col min="34" max="16384" width="10.7109375" style="2"/>
  </cols>
  <sheetData>
    <row r="1" spans="1:34" ht="6" customHeight="1" thickBot="1" x14ac:dyDescent="0.25">
      <c r="A1" s="1"/>
    </row>
    <row r="2" spans="1:34" ht="13.5" customHeight="1" thickTop="1" thickBot="1" x14ac:dyDescent="0.25">
      <c r="A2" s="1"/>
      <c r="B2" s="5" t="str">
        <f>IF($B$4,"Height (cm):","Height (in):")</f>
        <v>Height (in):</v>
      </c>
      <c r="C2" s="6">
        <v>66</v>
      </c>
      <c r="D2" s="7" t="s">
        <v>0</v>
      </c>
      <c r="E2" s="8">
        <f>PaceCalMaxHR!B17</f>
        <v>26831</v>
      </c>
      <c r="F2" s="9"/>
      <c r="G2" s="951" t="s">
        <v>434</v>
      </c>
      <c r="H2" s="951"/>
      <c r="I2" s="951"/>
      <c r="J2" s="951"/>
      <c r="K2" s="951"/>
      <c r="L2" s="951"/>
      <c r="M2" s="951"/>
      <c r="N2" s="10"/>
      <c r="O2" s="10"/>
      <c r="P2" s="11"/>
      <c r="Q2" s="694" t="s">
        <v>250</v>
      </c>
      <c r="R2" s="695">
        <v>43493</v>
      </c>
    </row>
    <row r="3" spans="1:34" s="12" customFormat="1" ht="13.5" customHeight="1" x14ac:dyDescent="0.2">
      <c r="B3" s="13" t="str">
        <f>"Weight"&amp;IF($B$4," (kg):"," (lb):")</f>
        <v>Weight (lb):</v>
      </c>
      <c r="C3" s="14">
        <v>125</v>
      </c>
      <c r="D3" s="15" t="s">
        <v>1</v>
      </c>
      <c r="E3" s="16">
        <f>PaceCalMaxHR!B7</f>
        <v>190</v>
      </c>
      <c r="F3" s="17"/>
      <c r="G3" s="952"/>
      <c r="H3" s="952"/>
      <c r="I3" s="952"/>
      <c r="J3" s="952"/>
      <c r="K3" s="952"/>
      <c r="L3" s="952"/>
      <c r="M3" s="952"/>
      <c r="P3" s="953" t="str">
        <f>P73</f>
        <v>Male Peak Potential - Marathon</v>
      </c>
      <c r="Q3" s="954"/>
      <c r="R3" s="955"/>
      <c r="S3" s="18" t="s">
        <v>2</v>
      </c>
      <c r="T3" s="18"/>
      <c r="U3" s="18"/>
      <c r="V3" s="18"/>
    </row>
    <row r="4" spans="1:34" s="12" customFormat="1" ht="13.5" customHeight="1" thickBot="1" x14ac:dyDescent="0.25">
      <c r="B4" s="19" t="b">
        <v>0</v>
      </c>
      <c r="C4" s="20" t="b">
        <v>1</v>
      </c>
      <c r="D4" s="21" t="s">
        <v>3</v>
      </c>
      <c r="E4" s="22">
        <f>PaceCalMaxHR!B6</f>
        <v>60</v>
      </c>
      <c r="F4" s="23"/>
      <c r="G4" s="956" t="s">
        <v>4</v>
      </c>
      <c r="H4" s="956"/>
      <c r="I4" s="956"/>
      <c r="J4" s="956"/>
      <c r="K4" s="956"/>
      <c r="L4" s="956"/>
      <c r="M4" s="956"/>
      <c r="N4" s="640"/>
      <c r="O4" s="641"/>
      <c r="P4" s="957" t="str">
        <f>"Open Class Standard:"</f>
        <v>Open Class Standard:</v>
      </c>
      <c r="Q4" s="958"/>
      <c r="R4" s="596">
        <f>R74</f>
        <v>8.5381944444444455E-2</v>
      </c>
      <c r="S4" s="18" t="s">
        <v>5</v>
      </c>
      <c r="T4" s="18"/>
      <c r="U4" s="18" t="s">
        <v>6</v>
      </c>
      <c r="V4" s="18"/>
      <c r="W4" s="959" t="s">
        <v>7</v>
      </c>
      <c r="X4" s="960"/>
      <c r="Y4" s="960"/>
      <c r="Z4" s="960"/>
      <c r="AA4" s="960"/>
      <c r="AB4" s="960"/>
      <c r="AC4" s="960"/>
      <c r="AD4" s="960"/>
      <c r="AE4" s="961"/>
    </row>
    <row r="5" spans="1:34" ht="13.5" customHeight="1" thickTop="1" thickBot="1" x14ac:dyDescent="0.25">
      <c r="A5" s="12"/>
      <c r="B5" s="962" t="s">
        <v>8</v>
      </c>
      <c r="C5" s="963"/>
      <c r="D5" s="963"/>
      <c r="E5" s="24">
        <f ca="1">IF(AND(DATEDIF($E$2,NOW(),"y")&gt;=0,DATEDIF($E$2,NOW(),"y")&lt;110),DATEDIF($E$2,NOW(),"y"),"Birthdate?")</f>
        <v>48</v>
      </c>
      <c r="G5" s="25" t="s">
        <v>9</v>
      </c>
      <c r="H5" s="26"/>
      <c r="I5" s="964" t="str">
        <f ca="1">IF(R5="No Std","Custom Entry - No Std",IF(R5="Birthdate?",R5,"AGP  " &amp; IF($C$4,"M-","F-")&amp;$E$5&amp;":   "&amp;TEXT($R$5/$G$6,"#.##%")))</f>
        <v>AGP  M-48:   50.28%</v>
      </c>
      <c r="J5" s="965"/>
      <c r="K5" s="642"/>
      <c r="L5" s="966" t="s">
        <v>10</v>
      </c>
      <c r="M5" s="966"/>
      <c r="N5" s="966"/>
      <c r="O5" s="27"/>
      <c r="P5" s="967" t="str">
        <f ca="1">"Age "&amp;TEXT(E5,"#")&amp; " Standard:"</f>
        <v>Age 48 Standard:</v>
      </c>
      <c r="Q5" s="968"/>
      <c r="R5" s="597">
        <f ca="1">R75</f>
        <v>9.4283570625794469E-2</v>
      </c>
      <c r="S5" s="28">
        <v>5.2</v>
      </c>
      <c r="T5" s="18"/>
      <c r="U5" s="18"/>
      <c r="V5" s="18"/>
    </row>
    <row r="6" spans="1:34" ht="13.5" customHeight="1" thickTop="1" thickBot="1" x14ac:dyDescent="0.25">
      <c r="A6" s="12"/>
      <c r="B6" s="737" t="str">
        <f>"Powered by "&amp;IF($G$16=1,"Daniels","Riegel")</f>
        <v>Powered by Riegel</v>
      </c>
      <c r="D6" s="30" t="s">
        <v>11</v>
      </c>
      <c r="E6" s="636" t="s">
        <v>20</v>
      </c>
      <c r="F6" s="30" t="s">
        <v>12</v>
      </c>
      <c r="G6" s="31">
        <f>PaceCalMaxHR!B5</f>
        <v>0.1875</v>
      </c>
      <c r="H6" s="32"/>
      <c r="I6" s="969">
        <f>IF(AND($E$6&gt;0,$G$6&gt;0),(-4.6 + 0.182258 * (F8/G6/1440) + 0.000104 *(F8/G6/1440)^2)/D9,1)</f>
        <v>32.78213112087478</v>
      </c>
      <c r="J6" s="970"/>
      <c r="K6" s="33" t="s">
        <v>13</v>
      </c>
      <c r="L6" s="34">
        <f>IF(AND($E$6&gt;0,$G$6&gt;0),(1/(29.54 + 5.000663 * ($I$6*0.88) - 0.007546 * ($I$6*0.88)^2)*1609.344/1440),"-")</f>
        <v>6.6714203666741858E-3</v>
      </c>
      <c r="M6" s="35">
        <f>+L6*0.621371192</f>
        <v>4.1454284255734164E-3</v>
      </c>
      <c r="N6" s="36" t="s">
        <v>14</v>
      </c>
      <c r="O6" s="37" t="str">
        <f>IF($E$3&gt;0,TEXT(0.88*E3,"0")&amp;" - "&amp;TEXT(0.92*E3,"0"),"")</f>
        <v>167 - 175</v>
      </c>
      <c r="P6" s="971" t="str">
        <f>"Peak Potential at "&amp;ROUND(C3,1)&amp;IF(B4," kg"," lb")</f>
        <v>Peak Potential at 125 lb</v>
      </c>
      <c r="Q6" s="972"/>
      <c r="R6" s="598">
        <f ca="1">R78</f>
        <v>0.10131944444444443</v>
      </c>
      <c r="S6" s="38">
        <v>2</v>
      </c>
      <c r="T6" s="18"/>
      <c r="U6" s="18"/>
      <c r="V6" s="18"/>
    </row>
    <row r="7" spans="1:34" ht="13.5" customHeight="1" thickTop="1" thickBot="1" x14ac:dyDescent="0.25">
      <c r="A7" s="12"/>
      <c r="B7" s="39"/>
      <c r="C7" s="40" t="s">
        <v>15</v>
      </c>
      <c r="D7" s="639" t="s">
        <v>16</v>
      </c>
      <c r="E7" s="973" t="s">
        <v>17</v>
      </c>
      <c r="F7" s="974"/>
      <c r="G7" s="975"/>
      <c r="H7" s="41" t="s">
        <v>18</v>
      </c>
      <c r="I7" s="42" t="s">
        <v>19</v>
      </c>
      <c r="J7" s="43" t="s">
        <v>20</v>
      </c>
      <c r="K7" s="44" t="s">
        <v>21</v>
      </c>
      <c r="L7" s="44" t="s">
        <v>22</v>
      </c>
      <c r="M7" s="44" t="s">
        <v>23</v>
      </c>
      <c r="N7" s="44" t="s">
        <v>24</v>
      </c>
      <c r="O7" s="45" t="s">
        <v>25</v>
      </c>
      <c r="P7" s="44" t="s">
        <v>26</v>
      </c>
      <c r="Q7" s="46" t="s">
        <v>27</v>
      </c>
      <c r="R7" s="47" t="s">
        <v>28</v>
      </c>
      <c r="S7" s="48"/>
      <c r="T7" s="18"/>
      <c r="U7" s="18"/>
    </row>
    <row r="8" spans="1:34" ht="13.5" customHeight="1" x14ac:dyDescent="0.2">
      <c r="A8" s="12"/>
      <c r="B8" s="976" t="s">
        <v>29</v>
      </c>
      <c r="C8" s="977"/>
      <c r="D8" s="978">
        <f>IF(E6="Custom",S8,HLOOKUP(E6,J7:P8,2,0))</f>
        <v>26.218757456454306</v>
      </c>
      <c r="E8" s="979"/>
      <c r="F8" s="980">
        <f>IF(E6="Custom",S9,HLOOKUP(E6,J7:P9,3,0))</f>
        <v>42195</v>
      </c>
      <c r="G8" s="981"/>
      <c r="H8" s="982" t="s">
        <v>30</v>
      </c>
      <c r="I8" s="983"/>
      <c r="J8" s="49">
        <f>J9/1609.344</f>
        <v>26.218757456454306</v>
      </c>
      <c r="K8" s="50">
        <f t="shared" ref="K8:Q8" si="0">K9/1609.344</f>
        <v>13.109378728227153</v>
      </c>
      <c r="L8" s="50">
        <f t="shared" si="0"/>
        <v>9.3205678835600096</v>
      </c>
      <c r="M8" s="50">
        <f t="shared" si="0"/>
        <v>7.4564543068480074</v>
      </c>
      <c r="N8" s="50">
        <f t="shared" si="0"/>
        <v>6.2137119223733395</v>
      </c>
      <c r="O8" s="50">
        <f t="shared" si="0"/>
        <v>4.9709695378986716</v>
      </c>
      <c r="P8" s="50">
        <f t="shared" si="0"/>
        <v>3.1068559611866697</v>
      </c>
      <c r="Q8" s="51">
        <f t="shared" si="0"/>
        <v>1.8641135767120018</v>
      </c>
      <c r="R8" s="52">
        <v>1</v>
      </c>
      <c r="S8" s="53">
        <f>IF($S$6=1,S5,S5/1.609344)</f>
        <v>3.2311301996341366</v>
      </c>
      <c r="T8" s="18"/>
      <c r="U8" s="18"/>
    </row>
    <row r="9" spans="1:34" ht="13.5" customHeight="1" thickBot="1" x14ac:dyDescent="0.25">
      <c r="A9" s="12"/>
      <c r="B9" s="985" t="s">
        <v>31</v>
      </c>
      <c r="C9" s="986"/>
      <c r="D9" s="987">
        <f>IF($G$6&gt;0,0.8+0.1894393 * EXP(-0.012778*G6*1440)+0.2989558* EXP(-0.1932605*G6*1440),0)</f>
        <v>0.80601351031207247</v>
      </c>
      <c r="E9" s="988"/>
      <c r="F9" s="54"/>
      <c r="G9" s="55"/>
      <c r="H9" s="989" t="s">
        <v>32</v>
      </c>
      <c r="I9" s="990"/>
      <c r="J9" s="56">
        <v>42195</v>
      </c>
      <c r="K9" s="57">
        <f>J9/2</f>
        <v>21097.5</v>
      </c>
      <c r="L9" s="57">
        <v>15000</v>
      </c>
      <c r="M9" s="57">
        <v>12000</v>
      </c>
      <c r="N9" s="57">
        <v>10000</v>
      </c>
      <c r="O9" s="57">
        <v>8000</v>
      </c>
      <c r="P9" s="57">
        <v>5000</v>
      </c>
      <c r="Q9" s="58">
        <v>3000</v>
      </c>
      <c r="R9" s="59">
        <f t="shared" ref="R9" si="1">+R8*1609.344</f>
        <v>1609.3440000000001</v>
      </c>
      <c r="S9" s="60">
        <f>IF($S$6=2,S5*1000,S5*1609.344)</f>
        <v>5200</v>
      </c>
      <c r="T9" s="18"/>
      <c r="U9" s="18"/>
    </row>
    <row r="10" spans="1:34" s="3" customFormat="1" ht="13.5" customHeight="1" thickBot="1" x14ac:dyDescent="0.25">
      <c r="A10" s="61"/>
      <c r="B10" s="62" t="s">
        <v>33</v>
      </c>
      <c r="C10" s="63">
        <v>1</v>
      </c>
      <c r="D10" s="64"/>
      <c r="E10" s="65"/>
      <c r="F10" s="991" t="s">
        <v>34</v>
      </c>
      <c r="G10" s="991"/>
      <c r="H10" s="991"/>
      <c r="I10" s="991"/>
      <c r="J10" s="66">
        <f t="shared" ref="J10:S10" si="2">IF($G$6&gt;0,0.8+0.1894393 * EXP(-0.012778*J16*1440)+0.2989558* EXP(-0.1932605*J16*1440),0)</f>
        <v>0.80601351031207247</v>
      </c>
      <c r="K10" s="67">
        <f t="shared" si="2"/>
        <v>0.8362090567114363</v>
      </c>
      <c r="L10" s="67">
        <f t="shared" si="2"/>
        <v>0.85982323722951726</v>
      </c>
      <c r="M10" s="67">
        <f t="shared" si="2"/>
        <v>0.87626369352584876</v>
      </c>
      <c r="N10" s="67">
        <f t="shared" si="2"/>
        <v>0.88949007316027007</v>
      </c>
      <c r="O10" s="67">
        <f t="shared" si="2"/>
        <v>0.90483967467077542</v>
      </c>
      <c r="P10" s="67">
        <f t="shared" si="2"/>
        <v>0.9335016974679704</v>
      </c>
      <c r="Q10" s="67">
        <f t="shared" si="2"/>
        <v>0.96627237499937368</v>
      </c>
      <c r="R10" s="68">
        <f t="shared" si="2"/>
        <v>1.0282424646051014</v>
      </c>
      <c r="S10" s="69">
        <f t="shared" si="2"/>
        <v>0.93123086321061832</v>
      </c>
      <c r="T10" s="18"/>
      <c r="U10" s="18"/>
      <c r="V10" s="70"/>
      <c r="X10" s="70"/>
    </row>
    <row r="11" spans="1:34" s="82" customFormat="1" ht="13.5" customHeight="1" x14ac:dyDescent="0.2">
      <c r="A11" s="71"/>
      <c r="B11" s="72"/>
      <c r="C11" s="73" t="s">
        <v>35</v>
      </c>
      <c r="D11" s="74">
        <v>0.65</v>
      </c>
      <c r="E11" s="74">
        <v>0.7</v>
      </c>
      <c r="F11" s="74">
        <v>0.72499999999999998</v>
      </c>
      <c r="G11" s="74">
        <v>0.75</v>
      </c>
      <c r="H11" s="74">
        <f>G11+((J11-G11)*0.3333)</f>
        <v>0.7781311123059873</v>
      </c>
      <c r="I11" s="75">
        <f>G11+((J11-G11)*0.6667)</f>
        <v>0.80627066478968423</v>
      </c>
      <c r="J11" s="76">
        <f t="shared" ref="J11:S11" si="3">MIN(1,IF($C$10=2,0.5+0.5*(J10-0.28)/0.72,IF($C$10=3,(0.6463*(J10*100)+37.182)/100,0.65+0.35*(J10-0.59)/0.41)))</f>
        <v>0.83440177709567165</v>
      </c>
      <c r="K11" s="74">
        <f t="shared" si="3"/>
        <v>0.86017846304634804</v>
      </c>
      <c r="L11" s="74">
        <f t="shared" si="3"/>
        <v>0.88033690983007573</v>
      </c>
      <c r="M11" s="74">
        <f t="shared" si="3"/>
        <v>0.89437144569279781</v>
      </c>
      <c r="N11" s="74">
        <f t="shared" si="3"/>
        <v>0.9056622575758404</v>
      </c>
      <c r="O11" s="74">
        <f t="shared" si="3"/>
        <v>0.91876557593846686</v>
      </c>
      <c r="P11" s="74">
        <f t="shared" si="3"/>
        <v>0.94323315637509675</v>
      </c>
      <c r="Q11" s="74">
        <f t="shared" si="3"/>
        <v>0.97120812499946529</v>
      </c>
      <c r="R11" s="77">
        <f t="shared" si="3"/>
        <v>1</v>
      </c>
      <c r="S11" s="78">
        <f t="shared" si="3"/>
        <v>0.94129463932613766</v>
      </c>
      <c r="T11" s="18"/>
      <c r="U11" s="18"/>
      <c r="V11" s="70"/>
      <c r="W11" s="79"/>
      <c r="X11" s="80"/>
      <c r="Y11" s="81"/>
      <c r="AH11" s="83"/>
    </row>
    <row r="12" spans="1:34" s="82" customFormat="1" ht="13.5" customHeight="1" thickBot="1" x14ac:dyDescent="0.25">
      <c r="A12" s="71"/>
      <c r="B12" s="84"/>
      <c r="C12" s="85" t="s">
        <v>36</v>
      </c>
      <c r="D12" s="86">
        <f t="shared" ref="D12:S12" si="4">IF(AND($E$3&gt;0,$E$4&gt;0),(D13-$E$4)/($E$3-$E$4),"-")</f>
        <v>0.48846153846153845</v>
      </c>
      <c r="E12" s="86">
        <f t="shared" si="4"/>
        <v>0.56153846153846154</v>
      </c>
      <c r="F12" s="86">
        <f t="shared" si="4"/>
        <v>0.59807692307692306</v>
      </c>
      <c r="G12" s="86">
        <f t="shared" si="4"/>
        <v>0.63461538461538458</v>
      </c>
      <c r="H12" s="86">
        <f t="shared" si="4"/>
        <v>0.67573008721644301</v>
      </c>
      <c r="I12" s="87">
        <f t="shared" si="4"/>
        <v>0.71685712546184632</v>
      </c>
      <c r="J12" s="88">
        <f t="shared" si="4"/>
        <v>0.75797182806290464</v>
      </c>
      <c r="K12" s="86">
        <f t="shared" si="4"/>
        <v>0.79564544599081644</v>
      </c>
      <c r="L12" s="86">
        <f t="shared" si="4"/>
        <v>0.8251077912901108</v>
      </c>
      <c r="M12" s="86">
        <f t="shared" si="4"/>
        <v>0.84561980524331992</v>
      </c>
      <c r="N12" s="86">
        <f t="shared" si="4"/>
        <v>0.86212176107238225</v>
      </c>
      <c r="O12" s="86">
        <f t="shared" si="4"/>
        <v>0.88127276483314398</v>
      </c>
      <c r="P12" s="86">
        <f t="shared" si="4"/>
        <v>0.91703307470206452</v>
      </c>
      <c r="Q12" s="86">
        <f t="shared" si="4"/>
        <v>0.95791956730691086</v>
      </c>
      <c r="R12" s="89">
        <f t="shared" si="4"/>
        <v>1</v>
      </c>
      <c r="S12" s="90">
        <f t="shared" si="4"/>
        <v>0.91419985747666277</v>
      </c>
      <c r="T12" s="18"/>
      <c r="U12" s="18"/>
      <c r="V12" s="70"/>
      <c r="X12" s="70"/>
    </row>
    <row r="13" spans="1:34" s="82" customFormat="1" ht="13.5" customHeight="1" thickBot="1" x14ac:dyDescent="0.25">
      <c r="A13" s="71"/>
      <c r="B13" s="91"/>
      <c r="C13" s="92" t="s">
        <v>37</v>
      </c>
      <c r="D13" s="93">
        <f t="shared" ref="D13:S13" si="5">IF($E$3&gt;0,D11*$E$3,"-")</f>
        <v>123.5</v>
      </c>
      <c r="E13" s="93">
        <f t="shared" si="5"/>
        <v>133</v>
      </c>
      <c r="F13" s="93">
        <f t="shared" si="5"/>
        <v>137.75</v>
      </c>
      <c r="G13" s="93">
        <f t="shared" si="5"/>
        <v>142.5</v>
      </c>
      <c r="H13" s="93">
        <f t="shared" si="5"/>
        <v>147.84491133813759</v>
      </c>
      <c r="I13" s="94">
        <f t="shared" si="5"/>
        <v>153.19142631004001</v>
      </c>
      <c r="J13" s="95">
        <f t="shared" si="5"/>
        <v>158.53633764817761</v>
      </c>
      <c r="K13" s="93">
        <f t="shared" si="5"/>
        <v>163.43390797880613</v>
      </c>
      <c r="L13" s="93">
        <f t="shared" si="5"/>
        <v>167.2640128677144</v>
      </c>
      <c r="M13" s="93">
        <f t="shared" si="5"/>
        <v>169.93057468163158</v>
      </c>
      <c r="N13" s="93">
        <f t="shared" si="5"/>
        <v>172.07582893940969</v>
      </c>
      <c r="O13" s="93">
        <f t="shared" si="5"/>
        <v>174.56545942830871</v>
      </c>
      <c r="P13" s="93">
        <f t="shared" si="5"/>
        <v>179.21429971126838</v>
      </c>
      <c r="Q13" s="93">
        <f t="shared" si="5"/>
        <v>184.52954374989841</v>
      </c>
      <c r="R13" s="96">
        <f t="shared" si="5"/>
        <v>190</v>
      </c>
      <c r="S13" s="97">
        <f t="shared" si="5"/>
        <v>178.84598147196616</v>
      </c>
      <c r="T13" s="18"/>
      <c r="U13" s="18"/>
      <c r="V13" s="70"/>
      <c r="X13" s="70"/>
    </row>
    <row r="14" spans="1:34" s="82" customFormat="1" ht="13.5" customHeight="1" x14ac:dyDescent="0.2">
      <c r="A14" s="71"/>
      <c r="B14" s="98"/>
      <c r="C14" s="92" t="s">
        <v>38</v>
      </c>
      <c r="D14" s="99">
        <f>IF(AND($E$6&gt;0,$G$6&gt;0),(1/(29.54+5.000663*($I$6*(0.59+0.41*(D11-0.65)/0.35))-0.007546*($I$6*(0.59+0.41*(D11-0.65)/0.35))^2)*1609.344/1440),"-")</f>
        <v>9.053995795858907E-3</v>
      </c>
      <c r="E14" s="99">
        <f>IF(AND($E$6&gt;0,$G$6&gt;0),(1/(29.54+5.000663*($I$6*(0.59+0.41*(E11-0.65)/0.35))-0.007546*($I$6*(0.59+0.41*(E11-0.65)/0.35))^2)*1609.344/1440),"-")</f>
        <v>8.4378585684670958E-3</v>
      </c>
      <c r="F14" s="99">
        <f>IF(AND($E$6&gt;0,$G$6&gt;0),(1/(29.54+5.000663*($I$6*(0.59+0.41*(F11-0.65)/0.35))-0.007546*($I$6*(0.59+0.41*(F11-0.65)/0.35))^2)*1609.344/1440),"-")</f>
        <v>8.1614453088094101E-3</v>
      </c>
      <c r="G14" s="99">
        <f>IF(AND($E$6&gt;0,$G$6&gt;0),(1/(29.54+5.000663*($I$6*(0.59+0.41*(G11-0.65)/0.35))-0.007546*($I$6*(0.59+0.41*(G11-0.65)/0.35))^2)*1609.344/1440),"-")</f>
        <v>7.9033448539680903E-3</v>
      </c>
      <c r="H14" s="99">
        <f>IF(AND($E$6&gt;0,$G$6&gt;0),G14+((J14-G14)*0.3333),"-")</f>
        <v>7.6527111837103798E-3</v>
      </c>
      <c r="I14" s="100">
        <f>IF(AND($E$6&gt;0,$G$6&gt;0),G14+((J14-G14)*0.6667),"-")</f>
        <v>7.4020023158318307E-3</v>
      </c>
      <c r="J14" s="101">
        <f t="shared" ref="J14:S14" si="6">IF(AND($E$6&gt;0,$G$6&gt;0),J16/J8,"-")</f>
        <v>7.1513686455741202E-3</v>
      </c>
      <c r="K14" s="99">
        <f t="shared" si="6"/>
        <v>6.860051345766967E-3</v>
      </c>
      <c r="L14" s="99">
        <f t="shared" si="6"/>
        <v>6.7210787207835632E-3</v>
      </c>
      <c r="M14" s="99">
        <f t="shared" si="6"/>
        <v>6.6316925122383279E-3</v>
      </c>
      <c r="N14" s="99">
        <f t="shared" si="6"/>
        <v>6.5595418402528858E-3</v>
      </c>
      <c r="O14" s="99">
        <f t="shared" si="6"/>
        <v>6.4723039727538918E-3</v>
      </c>
      <c r="P14" s="99">
        <f t="shared" si="6"/>
        <v>6.2923331265674056E-3</v>
      </c>
      <c r="Q14" s="99">
        <f t="shared" si="6"/>
        <v>6.1024015525031634E-3</v>
      </c>
      <c r="R14" s="102">
        <f t="shared" si="6"/>
        <v>5.8785800935780511E-3</v>
      </c>
      <c r="S14" s="103">
        <f t="shared" si="6"/>
        <v>6.3071579504883754E-3</v>
      </c>
      <c r="T14" s="18"/>
      <c r="U14" s="18"/>
      <c r="V14" s="70"/>
      <c r="X14" s="70"/>
      <c r="AC14" s="2"/>
      <c r="AD14" s="2"/>
      <c r="AE14" s="2"/>
      <c r="AH14" s="83"/>
    </row>
    <row r="15" spans="1:34" ht="13.5" customHeight="1" thickBot="1" x14ac:dyDescent="0.25">
      <c r="A15" s="12"/>
      <c r="B15" s="98"/>
      <c r="C15" s="92" t="s">
        <v>39</v>
      </c>
      <c r="D15" s="104">
        <f t="shared" ref="D15:S15" si="7">IF(D14&lt;&gt;"-",D14*0.621371192,"-")</f>
        <v>5.6258921600358383E-3</v>
      </c>
      <c r="E15" s="104">
        <f t="shared" si="7"/>
        <v>5.2430422366158127E-3</v>
      </c>
      <c r="F15" s="105">
        <f t="shared" si="7"/>
        <v>5.0712869999777112E-3</v>
      </c>
      <c r="G15" s="105">
        <f t="shared" si="7"/>
        <v>4.9109108126972187E-3</v>
      </c>
      <c r="H15" s="105">
        <f t="shared" si="7"/>
        <v>4.7551742702538497E-3</v>
      </c>
      <c r="I15" s="106">
        <f t="shared" si="7"/>
        <v>4.5993910021751849E-3</v>
      </c>
      <c r="J15" s="107">
        <f t="shared" si="7"/>
        <v>4.4436544597318169E-3</v>
      </c>
      <c r="K15" s="105">
        <f t="shared" si="7"/>
        <v>4.2626382819004249E-3</v>
      </c>
      <c r="L15" s="105">
        <f t="shared" si="7"/>
        <v>4.1762846962591178E-3</v>
      </c>
      <c r="M15" s="105">
        <f t="shared" si="7"/>
        <v>4.1207426813070049E-3</v>
      </c>
      <c r="N15" s="105">
        <f t="shared" si="7"/>
        <v>4.0759103322518097E-3</v>
      </c>
      <c r="O15" s="105">
        <f t="shared" si="7"/>
        <v>4.0217032345364213E-3</v>
      </c>
      <c r="P15" s="105">
        <f t="shared" si="7"/>
        <v>3.9098745353162755E-3</v>
      </c>
      <c r="Q15" s="105">
        <f t="shared" si="7"/>
        <v>3.7918565267415411E-3</v>
      </c>
      <c r="R15" s="108">
        <f t="shared" si="7"/>
        <v>3.6527803200140652E-3</v>
      </c>
      <c r="S15" s="109">
        <f t="shared" si="7"/>
        <v>3.9190862538272392E-3</v>
      </c>
      <c r="T15" s="18"/>
      <c r="U15" s="18"/>
      <c r="V15" s="110"/>
      <c r="X15" s="111"/>
      <c r="Y15" s="17"/>
      <c r="Z15" s="17"/>
      <c r="AC15" s="111"/>
    </row>
    <row r="16" spans="1:34" ht="13.5" customHeight="1" thickBot="1" x14ac:dyDescent="0.25">
      <c r="A16" s="12"/>
      <c r="B16" s="599" t="s">
        <v>40</v>
      </c>
      <c r="C16" s="600"/>
      <c r="D16" s="601" t="b">
        <v>1</v>
      </c>
      <c r="E16" s="602" t="b">
        <v>0</v>
      </c>
      <c r="F16" s="112"/>
      <c r="G16" s="660">
        <v>2</v>
      </c>
      <c r="H16" s="113"/>
      <c r="I16" s="114" t="s">
        <v>381</v>
      </c>
      <c r="J16" s="115">
        <f>IF(AND($E$6&gt;0,$G$6&gt;0),IF($G$16=1,(1/(29.54+5.000663*($I$6*(J10))-0.007546*($I$6*(J10))^2)/1440)*J9,$G$6*(J8/$D$8)^1.06),"-")</f>
        <v>0.1875</v>
      </c>
      <c r="K16" s="116">
        <f t="shared" ref="K16:S16" si="8">IF(AND($E$6&gt;0,$G$6&gt;0),IF($G$16=1,(1/(29.54+5.000663*($I$6*(K10))-0.007546*($I$6*(K10))^2)/1440)*K9,$G$6*(K8/$D$8)^1.06),"-")</f>
        <v>8.9931011186743529E-2</v>
      </c>
      <c r="L16" s="116">
        <f t="shared" si="8"/>
        <v>6.2644270467813873E-2</v>
      </c>
      <c r="M16" s="116">
        <f t="shared" si="8"/>
        <v>4.9448912194571162E-2</v>
      </c>
      <c r="N16" s="116">
        <f t="shared" si="8"/>
        <v>4.0759103338086113E-2</v>
      </c>
      <c r="O16" s="116">
        <f t="shared" si="8"/>
        <v>3.2173625888580151E-2</v>
      </c>
      <c r="P16" s="116">
        <f t="shared" si="8"/>
        <v>1.95493726840483E-2</v>
      </c>
      <c r="Q16" s="116">
        <f t="shared" si="8"/>
        <v>1.1375569584569544E-2</v>
      </c>
      <c r="R16" s="117">
        <f t="shared" si="8"/>
        <v>5.8785800935780511E-3</v>
      </c>
      <c r="S16" s="118">
        <f t="shared" si="8"/>
        <v>2.0379248527685537E-2</v>
      </c>
      <c r="T16" s="18"/>
      <c r="U16" s="18"/>
      <c r="AC16" s="111"/>
      <c r="AH16" s="119"/>
    </row>
    <row r="17" spans="1:29" ht="13.5" customHeight="1" thickTop="1" thickBot="1" x14ac:dyDescent="0.25">
      <c r="A17" s="12"/>
      <c r="B17" s="120"/>
      <c r="C17" s="120"/>
      <c r="D17" s="120"/>
      <c r="E17" s="120"/>
      <c r="F17" s="120"/>
      <c r="G17" s="120"/>
      <c r="H17" s="992" t="s">
        <v>41</v>
      </c>
      <c r="I17" s="992"/>
      <c r="J17" s="992"/>
      <c r="K17" s="992"/>
      <c r="L17" s="992"/>
      <c r="M17" s="121" t="s">
        <v>42</v>
      </c>
      <c r="N17" s="121"/>
      <c r="O17" s="121"/>
      <c r="P17" s="120"/>
      <c r="Q17" s="120"/>
      <c r="R17" s="736"/>
      <c r="S17" s="736"/>
      <c r="T17" s="122"/>
      <c r="U17" s="122"/>
      <c r="V17" s="123"/>
      <c r="W17" s="124"/>
      <c r="X17" s="125"/>
    </row>
    <row r="18" spans="1:29" ht="13.5" customHeight="1" thickTop="1" thickBot="1" x14ac:dyDescent="0.25">
      <c r="A18" s="12"/>
      <c r="B18" s="126"/>
      <c r="C18" s="127" t="s">
        <v>43</v>
      </c>
      <c r="D18" s="128">
        <f t="shared" ref="D18:R18" si="9">LOOKUP(((0.182258*(1/(D14*1440)*1609.344)+(0.000104*(1/(D14*1440)*1609.344)^2)-4.6)/$I$6),$W$125:$W$204,$Y$125:$Y$204)</f>
        <v>0.1</v>
      </c>
      <c r="E18" s="129">
        <f t="shared" si="9"/>
        <v>0.183</v>
      </c>
      <c r="F18" s="130">
        <f t="shared" si="9"/>
        <v>0.23300000000000001</v>
      </c>
      <c r="G18" s="131">
        <f t="shared" si="9"/>
        <v>0.26649999999999996</v>
      </c>
      <c r="H18" s="129">
        <f t="shared" si="9"/>
        <v>0.32500000000000001</v>
      </c>
      <c r="I18" s="132">
        <f t="shared" si="9"/>
        <v>0.39200000000000002</v>
      </c>
      <c r="J18" s="133">
        <f t="shared" si="9"/>
        <v>0.47950000000000004</v>
      </c>
      <c r="K18" s="129">
        <f t="shared" si="9"/>
        <v>0.58299999999999996</v>
      </c>
      <c r="L18" s="130">
        <f t="shared" si="9"/>
        <v>0.65</v>
      </c>
      <c r="M18" s="130">
        <f t="shared" si="9"/>
        <v>0.68300000000000005</v>
      </c>
      <c r="N18" s="131">
        <f t="shared" si="9"/>
        <v>0.70300000000000007</v>
      </c>
      <c r="O18" s="128">
        <f t="shared" si="9"/>
        <v>0.76300000000000001</v>
      </c>
      <c r="P18" s="129">
        <f t="shared" si="9"/>
        <v>0.88300000000000001</v>
      </c>
      <c r="Q18" s="131">
        <f t="shared" si="9"/>
        <v>0.96</v>
      </c>
      <c r="R18" s="134">
        <f t="shared" si="9"/>
        <v>1.125</v>
      </c>
      <c r="S18" s="122"/>
      <c r="T18" s="122"/>
      <c r="U18" s="122"/>
      <c r="V18" s="123"/>
      <c r="X18" s="125"/>
    </row>
    <row r="19" spans="1:29" ht="13.5" customHeight="1" x14ac:dyDescent="0.2">
      <c r="A19" s="12"/>
      <c r="B19" s="135">
        <f>IF(AND($D$16,$E$16),2,1)</f>
        <v>1</v>
      </c>
      <c r="C19" s="136" t="str">
        <f>IF($D$16,"KM ","Mile ")</f>
        <v xml:space="preserve">KM </v>
      </c>
      <c r="D19" s="137">
        <f t="shared" ref="D19:R34" si="10">IF(AND(D$18&lt;&gt;"-",AND(D$14&lt;&gt;"-",D$14&lt;&gt;0)),$B19*D$18*(IF($D$16,D$15,D$14)*1440),"-")</f>
        <v>0.81012847104516073</v>
      </c>
      <c r="E19" s="138">
        <f t="shared" si="10"/>
        <v>1.381646490192999</v>
      </c>
      <c r="F19" s="139">
        <f t="shared" si="10"/>
        <v>1.7015182142325218</v>
      </c>
      <c r="G19" s="140">
        <f t="shared" si="10"/>
        <v>1.8846111334806843</v>
      </c>
      <c r="H19" s="141">
        <f t="shared" si="10"/>
        <v>2.2254215584788017</v>
      </c>
      <c r="I19" s="142">
        <f t="shared" si="10"/>
        <v>2.5962642329078487</v>
      </c>
      <c r="J19" s="143">
        <f t="shared" si="10"/>
        <v>3.0682545313556249</v>
      </c>
      <c r="K19" s="144">
        <f t="shared" si="10"/>
        <v>3.5785700904210445</v>
      </c>
      <c r="L19" s="145">
        <f t="shared" si="10"/>
        <v>3.909002475698534</v>
      </c>
      <c r="M19" s="145">
        <f t="shared" si="10"/>
        <v>4.0528328419190656</v>
      </c>
      <c r="N19" s="146">
        <f t="shared" si="10"/>
        <v>4.1261255475451524</v>
      </c>
      <c r="O19" s="147">
        <f t="shared" si="10"/>
        <v>4.4187257778498568</v>
      </c>
      <c r="P19" s="148">
        <f t="shared" si="10"/>
        <v>4.9714836691453508</v>
      </c>
      <c r="Q19" s="149">
        <f t="shared" si="10"/>
        <v>5.2418624625675063</v>
      </c>
      <c r="R19" s="150">
        <f t="shared" si="10"/>
        <v>5.9175041184227855</v>
      </c>
      <c r="S19" s="122"/>
      <c r="T19" s="122"/>
      <c r="U19" s="122"/>
      <c r="X19" s="125"/>
    </row>
    <row r="20" spans="1:29" ht="13.5" customHeight="1" x14ac:dyDescent="0.2">
      <c r="A20" s="12"/>
      <c r="B20" s="135">
        <f t="shared" ref="B20:B44" si="11">IF(AND($D$16,$E$16),B19+2,B19+1)</f>
        <v>2</v>
      </c>
      <c r="C20" s="136" t="str">
        <f t="shared" ref="C20:C44" si="12">IF($D$16,"KM ","Miles ")</f>
        <v xml:space="preserve">KM </v>
      </c>
      <c r="D20" s="137">
        <f t="shared" si="10"/>
        <v>1.6202569420903215</v>
      </c>
      <c r="E20" s="151">
        <f t="shared" si="10"/>
        <v>2.763292980385998</v>
      </c>
      <c r="F20" s="152">
        <f t="shared" si="10"/>
        <v>3.4030364284650436</v>
      </c>
      <c r="G20" s="153">
        <f t="shared" si="10"/>
        <v>3.7692222669613686</v>
      </c>
      <c r="H20" s="154">
        <f t="shared" si="10"/>
        <v>4.4508431169576035</v>
      </c>
      <c r="I20" s="155">
        <f t="shared" si="10"/>
        <v>5.1925284658156974</v>
      </c>
      <c r="J20" s="156">
        <f t="shared" si="10"/>
        <v>6.1365090627112497</v>
      </c>
      <c r="K20" s="157">
        <f t="shared" si="10"/>
        <v>7.1571401808420889</v>
      </c>
      <c r="L20" s="158">
        <f t="shared" si="10"/>
        <v>7.818004951397068</v>
      </c>
      <c r="M20" s="158">
        <f t="shared" si="10"/>
        <v>8.1056656838381311</v>
      </c>
      <c r="N20" s="159">
        <f t="shared" si="10"/>
        <v>8.2522510950903047</v>
      </c>
      <c r="O20" s="160">
        <f t="shared" si="10"/>
        <v>8.8374515556997135</v>
      </c>
      <c r="P20" s="161">
        <f t="shared" si="10"/>
        <v>9.9429673382907016</v>
      </c>
      <c r="Q20" s="162">
        <f t="shared" si="10"/>
        <v>10.483724925135013</v>
      </c>
      <c r="R20" s="163">
        <f t="shared" si="10"/>
        <v>11.835008236845571</v>
      </c>
      <c r="S20" s="122"/>
      <c r="T20" s="122"/>
      <c r="U20" s="122"/>
      <c r="V20" s="164"/>
      <c r="W20" s="165"/>
      <c r="X20" s="165"/>
      <c r="Y20" s="165"/>
      <c r="Z20" s="165"/>
      <c r="AA20" s="166"/>
      <c r="AB20" s="166"/>
      <c r="AC20" s="125"/>
    </row>
    <row r="21" spans="1:29" ht="13.5" customHeight="1" x14ac:dyDescent="0.2">
      <c r="A21" s="12"/>
      <c r="B21" s="135">
        <f t="shared" si="11"/>
        <v>3</v>
      </c>
      <c r="C21" s="136" t="str">
        <f t="shared" si="12"/>
        <v xml:space="preserve">KM </v>
      </c>
      <c r="D21" s="137">
        <f t="shared" si="10"/>
        <v>2.4303854131354825</v>
      </c>
      <c r="E21" s="151">
        <f t="shared" si="10"/>
        <v>4.144939470578997</v>
      </c>
      <c r="F21" s="152">
        <f t="shared" si="10"/>
        <v>5.1045546426975656</v>
      </c>
      <c r="G21" s="153">
        <f t="shared" si="10"/>
        <v>5.6538334004420525</v>
      </c>
      <c r="H21" s="154">
        <f t="shared" si="10"/>
        <v>6.6762646754364061</v>
      </c>
      <c r="I21" s="155">
        <f t="shared" si="10"/>
        <v>7.7887926987235465</v>
      </c>
      <c r="J21" s="156">
        <f t="shared" si="10"/>
        <v>9.2047635940668755</v>
      </c>
      <c r="K21" s="157">
        <f t="shared" si="10"/>
        <v>10.735710271263132</v>
      </c>
      <c r="L21" s="158">
        <f t="shared" si="10"/>
        <v>11.727007427095604</v>
      </c>
      <c r="M21" s="158">
        <f t="shared" si="10"/>
        <v>12.158498525757198</v>
      </c>
      <c r="N21" s="159">
        <f t="shared" si="10"/>
        <v>12.378376642635457</v>
      </c>
      <c r="O21" s="160">
        <f t="shared" si="10"/>
        <v>13.256177333549571</v>
      </c>
      <c r="P21" s="161">
        <f t="shared" si="10"/>
        <v>14.914451007436051</v>
      </c>
      <c r="Q21" s="162">
        <f t="shared" si="10"/>
        <v>15.72558738770252</v>
      </c>
      <c r="R21" s="163">
        <f t="shared" si="10"/>
        <v>17.752512355268358</v>
      </c>
      <c r="S21" s="122"/>
      <c r="T21" s="122"/>
      <c r="U21" s="122"/>
      <c r="V21" s="164"/>
      <c r="W21" s="167"/>
      <c r="X21" s="167"/>
      <c r="Y21" s="167"/>
      <c r="Z21" s="167"/>
      <c r="AA21" s="167"/>
      <c r="AB21" s="166"/>
    </row>
    <row r="22" spans="1:29" ht="13.5" customHeight="1" x14ac:dyDescent="0.2">
      <c r="A22" s="12"/>
      <c r="B22" s="135">
        <f t="shared" si="11"/>
        <v>4</v>
      </c>
      <c r="C22" s="136" t="str">
        <f t="shared" si="12"/>
        <v xml:space="preserve">KM </v>
      </c>
      <c r="D22" s="137">
        <f t="shared" si="10"/>
        <v>3.2405138841806429</v>
      </c>
      <c r="E22" s="151">
        <f t="shared" si="10"/>
        <v>5.526585960771996</v>
      </c>
      <c r="F22" s="152">
        <f t="shared" si="10"/>
        <v>6.8060728569300872</v>
      </c>
      <c r="G22" s="153">
        <f t="shared" si="10"/>
        <v>7.5384445339227373</v>
      </c>
      <c r="H22" s="154">
        <f t="shared" si="10"/>
        <v>8.901686233915207</v>
      </c>
      <c r="I22" s="155">
        <f t="shared" si="10"/>
        <v>10.385056931631395</v>
      </c>
      <c r="J22" s="156">
        <f t="shared" si="10"/>
        <v>12.273018125422499</v>
      </c>
      <c r="K22" s="157">
        <f t="shared" si="10"/>
        <v>14.314280361684178</v>
      </c>
      <c r="L22" s="158">
        <f t="shared" si="10"/>
        <v>15.636009902794136</v>
      </c>
      <c r="M22" s="158">
        <f t="shared" si="10"/>
        <v>16.211331367676262</v>
      </c>
      <c r="N22" s="159">
        <f t="shared" si="10"/>
        <v>16.504502190180609</v>
      </c>
      <c r="O22" s="160">
        <f t="shared" si="10"/>
        <v>17.674903111399427</v>
      </c>
      <c r="P22" s="161">
        <f t="shared" si="10"/>
        <v>19.885934676581403</v>
      </c>
      <c r="Q22" s="162">
        <f t="shared" si="10"/>
        <v>20.967449850270025</v>
      </c>
      <c r="R22" s="163">
        <f t="shared" si="10"/>
        <v>23.670016473691142</v>
      </c>
      <c r="S22" s="122"/>
      <c r="T22" s="122"/>
      <c r="U22" s="122"/>
      <c r="V22" s="164"/>
      <c r="W22" s="168"/>
      <c r="X22" s="169"/>
      <c r="Y22" s="169"/>
      <c r="Z22" s="169"/>
      <c r="AA22" s="169"/>
      <c r="AB22" s="166"/>
    </row>
    <row r="23" spans="1:29" ht="13.5" customHeight="1" thickBot="1" x14ac:dyDescent="0.25">
      <c r="A23" s="12"/>
      <c r="B23" s="170">
        <f t="shared" si="11"/>
        <v>5</v>
      </c>
      <c r="C23" s="171" t="str">
        <f t="shared" si="12"/>
        <v xml:space="preserve">KM </v>
      </c>
      <c r="D23" s="172">
        <f t="shared" si="10"/>
        <v>4.0506423552258033</v>
      </c>
      <c r="E23" s="173">
        <f t="shared" si="10"/>
        <v>6.9082324509649951</v>
      </c>
      <c r="F23" s="174">
        <f t="shared" si="10"/>
        <v>8.5075910711626079</v>
      </c>
      <c r="G23" s="175">
        <f t="shared" si="10"/>
        <v>9.4230556674034212</v>
      </c>
      <c r="H23" s="176">
        <f t="shared" si="10"/>
        <v>11.127107792394009</v>
      </c>
      <c r="I23" s="177">
        <f t="shared" si="10"/>
        <v>12.981321164539242</v>
      </c>
      <c r="J23" s="178">
        <f t="shared" si="10"/>
        <v>15.341272656778123</v>
      </c>
      <c r="K23" s="179">
        <f t="shared" si="10"/>
        <v>17.892850452105222</v>
      </c>
      <c r="L23" s="180">
        <f t="shared" si="10"/>
        <v>19.545012378492672</v>
      </c>
      <c r="M23" s="180">
        <f t="shared" si="10"/>
        <v>20.264164209595325</v>
      </c>
      <c r="N23" s="181">
        <f t="shared" si="10"/>
        <v>20.630627737725764</v>
      </c>
      <c r="O23" s="182">
        <f t="shared" si="10"/>
        <v>22.093628889249281</v>
      </c>
      <c r="P23" s="183">
        <f t="shared" si="10"/>
        <v>24.857418345726753</v>
      </c>
      <c r="Q23" s="162">
        <f t="shared" si="10"/>
        <v>26.209312312837532</v>
      </c>
      <c r="R23" s="184" t="s">
        <v>44</v>
      </c>
      <c r="S23" s="122"/>
      <c r="T23" s="122"/>
      <c r="U23" s="122"/>
      <c r="V23" s="164"/>
      <c r="W23" s="165"/>
      <c r="X23" s="185"/>
      <c r="Y23" s="186"/>
      <c r="Z23" s="187"/>
      <c r="AA23" s="169"/>
      <c r="AB23" s="166"/>
    </row>
    <row r="24" spans="1:29" ht="13.5" customHeight="1" x14ac:dyDescent="0.2">
      <c r="A24" s="12"/>
      <c r="B24" s="188">
        <f t="shared" si="11"/>
        <v>6</v>
      </c>
      <c r="C24" s="189" t="str">
        <f t="shared" si="12"/>
        <v xml:space="preserve">KM </v>
      </c>
      <c r="D24" s="190">
        <f t="shared" si="10"/>
        <v>4.860770826270965</v>
      </c>
      <c r="E24" s="191">
        <f t="shared" si="10"/>
        <v>8.2898789411579941</v>
      </c>
      <c r="F24" s="192">
        <f t="shared" si="10"/>
        <v>10.209109285395131</v>
      </c>
      <c r="G24" s="193">
        <f t="shared" si="10"/>
        <v>11.307666800884105</v>
      </c>
      <c r="H24" s="194">
        <f t="shared" si="10"/>
        <v>13.352529350872812</v>
      </c>
      <c r="I24" s="195">
        <f t="shared" si="10"/>
        <v>15.577585397447093</v>
      </c>
      <c r="J24" s="196">
        <f t="shared" si="10"/>
        <v>18.409527188133751</v>
      </c>
      <c r="K24" s="197">
        <f t="shared" si="10"/>
        <v>21.471420542526264</v>
      </c>
      <c r="L24" s="198">
        <f t="shared" si="10"/>
        <v>23.454014854191207</v>
      </c>
      <c r="M24" s="198">
        <f t="shared" si="10"/>
        <v>24.316997051514395</v>
      </c>
      <c r="N24" s="199">
        <f t="shared" si="10"/>
        <v>24.756753285270914</v>
      </c>
      <c r="O24" s="200">
        <f t="shared" si="10"/>
        <v>26.512354667099142</v>
      </c>
      <c r="P24" s="201" t="s">
        <v>44</v>
      </c>
      <c r="Q24" s="202" t="s">
        <v>44</v>
      </c>
      <c r="R24" s="203" t="s">
        <v>44</v>
      </c>
      <c r="S24" s="122"/>
      <c r="T24" s="122"/>
      <c r="U24" s="122"/>
      <c r="V24" s="164"/>
      <c r="W24" s="166"/>
      <c r="X24" s="204"/>
      <c r="Y24" s="166"/>
      <c r="Z24" s="166"/>
      <c r="AA24" s="166"/>
      <c r="AB24" s="166"/>
    </row>
    <row r="25" spans="1:29" ht="13.5" customHeight="1" x14ac:dyDescent="0.2">
      <c r="A25" s="12"/>
      <c r="B25" s="135">
        <f t="shared" si="11"/>
        <v>7</v>
      </c>
      <c r="C25" s="136" t="str">
        <f t="shared" si="12"/>
        <v xml:space="preserve">KM </v>
      </c>
      <c r="D25" s="205">
        <f t="shared" si="10"/>
        <v>5.670899297316125</v>
      </c>
      <c r="E25" s="151">
        <f t="shared" si="10"/>
        <v>9.6715254313509931</v>
      </c>
      <c r="F25" s="152">
        <f t="shared" si="10"/>
        <v>11.910627499627651</v>
      </c>
      <c r="G25" s="153">
        <f t="shared" si="10"/>
        <v>13.192277934364791</v>
      </c>
      <c r="H25" s="154">
        <f t="shared" si="10"/>
        <v>15.577950909351612</v>
      </c>
      <c r="I25" s="155">
        <f t="shared" si="10"/>
        <v>18.17384963035494</v>
      </c>
      <c r="J25" s="156">
        <f t="shared" si="10"/>
        <v>21.477781719489379</v>
      </c>
      <c r="K25" s="157">
        <f t="shared" si="10"/>
        <v>25.04999063294731</v>
      </c>
      <c r="L25" s="158">
        <f t="shared" si="10"/>
        <v>27.363017329889736</v>
      </c>
      <c r="M25" s="158">
        <f t="shared" si="10"/>
        <v>28.369829893433462</v>
      </c>
      <c r="N25" s="159">
        <f t="shared" si="10"/>
        <v>28.882878832816068</v>
      </c>
      <c r="O25" s="160" t="s">
        <v>44</v>
      </c>
      <c r="P25" s="161" t="s">
        <v>44</v>
      </c>
      <c r="Q25" s="206" t="s">
        <v>44</v>
      </c>
      <c r="R25" s="163" t="s">
        <v>44</v>
      </c>
      <c r="Y25" s="164"/>
      <c r="Z25" s="207"/>
    </row>
    <row r="26" spans="1:29" ht="13.5" customHeight="1" thickBot="1" x14ac:dyDescent="0.25">
      <c r="A26" s="12"/>
      <c r="B26" s="135">
        <f t="shared" si="11"/>
        <v>8</v>
      </c>
      <c r="C26" s="136" t="str">
        <f t="shared" si="12"/>
        <v xml:space="preserve">KM </v>
      </c>
      <c r="D26" s="205">
        <f t="shared" si="10"/>
        <v>6.4810277683612858</v>
      </c>
      <c r="E26" s="151">
        <f t="shared" si="10"/>
        <v>11.053171921543992</v>
      </c>
      <c r="F26" s="152">
        <f t="shared" si="10"/>
        <v>13.612145713860174</v>
      </c>
      <c r="G26" s="153">
        <f t="shared" si="10"/>
        <v>15.076889067845475</v>
      </c>
      <c r="H26" s="154">
        <f t="shared" si="10"/>
        <v>17.803372467830414</v>
      </c>
      <c r="I26" s="155">
        <f t="shared" si="10"/>
        <v>20.77011386326279</v>
      </c>
      <c r="J26" s="156">
        <f t="shared" si="10"/>
        <v>24.546036250844999</v>
      </c>
      <c r="K26" s="157">
        <f t="shared" si="10"/>
        <v>28.628560723368356</v>
      </c>
      <c r="L26" s="158">
        <f t="shared" si="10"/>
        <v>31.272019805588272</v>
      </c>
      <c r="M26" s="208">
        <f t="shared" si="10"/>
        <v>32.422662735352525</v>
      </c>
      <c r="N26" s="209" t="s">
        <v>44</v>
      </c>
      <c r="O26" s="210" t="s">
        <v>44</v>
      </c>
      <c r="P26" s="211" t="s">
        <v>44</v>
      </c>
      <c r="Q26" s="212" t="s">
        <v>44</v>
      </c>
      <c r="R26" s="213" t="s">
        <v>44</v>
      </c>
      <c r="Y26" s="165"/>
      <c r="Z26" s="166"/>
      <c r="AA26" s="214"/>
    </row>
    <row r="27" spans="1:29" ht="13.5" customHeight="1" thickTop="1" thickBot="1" x14ac:dyDescent="0.25">
      <c r="A27" s="12"/>
      <c r="B27" s="135">
        <f t="shared" si="11"/>
        <v>9</v>
      </c>
      <c r="C27" s="136" t="str">
        <f t="shared" si="12"/>
        <v xml:space="preserve">KM </v>
      </c>
      <c r="D27" s="205">
        <f t="shared" si="10"/>
        <v>7.2911562394064457</v>
      </c>
      <c r="E27" s="151">
        <f t="shared" si="10"/>
        <v>12.434818411736991</v>
      </c>
      <c r="F27" s="152">
        <f t="shared" si="10"/>
        <v>15.313663928092694</v>
      </c>
      <c r="G27" s="153">
        <f t="shared" si="10"/>
        <v>16.961500201326157</v>
      </c>
      <c r="H27" s="154">
        <f t="shared" si="10"/>
        <v>20.028794026309217</v>
      </c>
      <c r="I27" s="155">
        <f t="shared" si="10"/>
        <v>23.366378096170635</v>
      </c>
      <c r="J27" s="156">
        <f t="shared" si="10"/>
        <v>27.614290782200623</v>
      </c>
      <c r="K27" s="157">
        <f t="shared" si="10"/>
        <v>32.207130813789398</v>
      </c>
      <c r="L27" s="159">
        <f t="shared" si="10"/>
        <v>35.181022281286808</v>
      </c>
      <c r="M27" s="1008" t="s">
        <v>45</v>
      </c>
      <c r="N27" s="1009"/>
      <c r="O27" s="1009"/>
      <c r="P27" s="1009"/>
      <c r="Q27" s="1009"/>
      <c r="R27" s="215"/>
      <c r="Y27" s="122"/>
      <c r="Z27" s="207"/>
    </row>
    <row r="28" spans="1:29" ht="13.5" customHeight="1" thickTop="1" thickBot="1" x14ac:dyDescent="0.25">
      <c r="A28" s="12"/>
      <c r="B28" s="170">
        <f t="shared" si="11"/>
        <v>10</v>
      </c>
      <c r="C28" s="171" t="str">
        <f t="shared" si="12"/>
        <v xml:space="preserve">KM </v>
      </c>
      <c r="D28" s="216">
        <f t="shared" si="10"/>
        <v>8.1012847104516066</v>
      </c>
      <c r="E28" s="173">
        <f t="shared" si="10"/>
        <v>13.81646490192999</v>
      </c>
      <c r="F28" s="174">
        <f t="shared" si="10"/>
        <v>17.015182142325216</v>
      </c>
      <c r="G28" s="175">
        <f t="shared" si="10"/>
        <v>18.846111334806842</v>
      </c>
      <c r="H28" s="176">
        <f t="shared" si="10"/>
        <v>22.254215584788017</v>
      </c>
      <c r="I28" s="177">
        <f t="shared" si="10"/>
        <v>25.962642329078484</v>
      </c>
      <c r="J28" s="178">
        <f t="shared" si="10"/>
        <v>30.682545313556247</v>
      </c>
      <c r="K28" s="179">
        <f t="shared" si="10"/>
        <v>35.785700904210444</v>
      </c>
      <c r="L28" s="217">
        <f t="shared" si="10"/>
        <v>39.090024756985343</v>
      </c>
      <c r="M28" s="218" t="s">
        <v>46</v>
      </c>
      <c r="N28" s="219"/>
      <c r="O28" s="219" t="s">
        <v>47</v>
      </c>
      <c r="P28" s="219"/>
      <c r="Q28" s="219"/>
      <c r="R28" s="220" t="s">
        <v>48</v>
      </c>
      <c r="V28" s="221"/>
      <c r="W28" s="222"/>
      <c r="X28" s="223" t="s">
        <v>49</v>
      </c>
      <c r="Y28" s="224"/>
      <c r="Z28" s="224"/>
      <c r="AA28" s="122"/>
      <c r="AB28" s="207"/>
    </row>
    <row r="29" spans="1:29" ht="13.5" customHeight="1" thickBot="1" x14ac:dyDescent="0.25">
      <c r="A29" s="12"/>
      <c r="B29" s="188">
        <f t="shared" si="11"/>
        <v>11</v>
      </c>
      <c r="C29" s="189" t="str">
        <f t="shared" si="12"/>
        <v xml:space="preserve">KM </v>
      </c>
      <c r="D29" s="190">
        <f t="shared" si="10"/>
        <v>8.9114131814967674</v>
      </c>
      <c r="E29" s="191">
        <f t="shared" si="10"/>
        <v>15.198111392122989</v>
      </c>
      <c r="F29" s="192">
        <f t="shared" si="10"/>
        <v>18.716700356557741</v>
      </c>
      <c r="G29" s="193">
        <f t="shared" si="10"/>
        <v>20.730722468287528</v>
      </c>
      <c r="H29" s="194">
        <f t="shared" si="10"/>
        <v>24.479637143266821</v>
      </c>
      <c r="I29" s="195">
        <f t="shared" si="10"/>
        <v>28.558906561986333</v>
      </c>
      <c r="J29" s="196">
        <f t="shared" si="10"/>
        <v>33.750799844911874</v>
      </c>
      <c r="K29" s="197">
        <f t="shared" si="10"/>
        <v>39.364270994631489</v>
      </c>
      <c r="L29" s="225" t="s">
        <v>44</v>
      </c>
      <c r="M29" s="226" t="s">
        <v>50</v>
      </c>
      <c r="N29" s="227"/>
      <c r="O29" s="227" t="s">
        <v>51</v>
      </c>
      <c r="P29" s="227"/>
      <c r="Q29" s="227"/>
      <c r="R29" s="228">
        <v>1</v>
      </c>
      <c r="V29" s="221"/>
      <c r="W29" s="229" t="s">
        <v>52</v>
      </c>
      <c r="X29" s="230" t="s">
        <v>52</v>
      </c>
      <c r="Y29" s="231" t="s">
        <v>5</v>
      </c>
      <c r="Z29" s="232" t="s">
        <v>52</v>
      </c>
      <c r="AA29" s="122"/>
      <c r="AB29" s="207"/>
    </row>
    <row r="30" spans="1:29" ht="13.5" customHeight="1" thickBot="1" x14ac:dyDescent="0.25">
      <c r="A30" s="12"/>
      <c r="B30" s="135">
        <f t="shared" si="11"/>
        <v>12</v>
      </c>
      <c r="C30" s="136" t="str">
        <f t="shared" si="12"/>
        <v xml:space="preserve">KM </v>
      </c>
      <c r="D30" s="205">
        <f t="shared" si="10"/>
        <v>9.72154165254193</v>
      </c>
      <c r="E30" s="151">
        <f t="shared" si="10"/>
        <v>16.579757882315988</v>
      </c>
      <c r="F30" s="152">
        <f t="shared" si="10"/>
        <v>20.418218570790263</v>
      </c>
      <c r="G30" s="153">
        <f t="shared" si="10"/>
        <v>22.61533360176821</v>
      </c>
      <c r="H30" s="154">
        <f t="shared" si="10"/>
        <v>26.705058701745624</v>
      </c>
      <c r="I30" s="155">
        <f t="shared" si="10"/>
        <v>31.155170794894186</v>
      </c>
      <c r="J30" s="156">
        <f t="shared" si="10"/>
        <v>36.819054376267502</v>
      </c>
      <c r="K30" s="157">
        <f t="shared" si="10"/>
        <v>42.942841085052528</v>
      </c>
      <c r="L30" s="233" t="s">
        <v>44</v>
      </c>
      <c r="M30" s="234" t="s">
        <v>53</v>
      </c>
      <c r="N30" s="235" t="str">
        <f>IF($D$16,"KM","Miles")</f>
        <v>KM</v>
      </c>
      <c r="O30" s="235" t="s">
        <v>54</v>
      </c>
      <c r="P30" s="236" t="s">
        <v>55</v>
      </c>
      <c r="Q30" s="237" t="s">
        <v>56</v>
      </c>
      <c r="R30" s="238" t="s">
        <v>57</v>
      </c>
      <c r="V30" s="239"/>
      <c r="W30" s="240" t="s">
        <v>5</v>
      </c>
      <c r="X30" s="241" t="s">
        <v>54</v>
      </c>
      <c r="Y30" s="241" t="s">
        <v>54</v>
      </c>
      <c r="Z30" s="242" t="s">
        <v>58</v>
      </c>
      <c r="AA30" s="243"/>
      <c r="AB30" s="207"/>
    </row>
    <row r="31" spans="1:29" ht="13.5" customHeight="1" x14ac:dyDescent="0.2">
      <c r="A31" s="12"/>
      <c r="B31" s="135">
        <f t="shared" si="11"/>
        <v>13</v>
      </c>
      <c r="C31" s="136" t="str">
        <f t="shared" si="12"/>
        <v xml:space="preserve">KM </v>
      </c>
      <c r="D31" s="205">
        <f t="shared" si="10"/>
        <v>10.531670123587089</v>
      </c>
      <c r="E31" s="151">
        <f t="shared" si="10"/>
        <v>17.961404372508987</v>
      </c>
      <c r="F31" s="152">
        <f t="shared" si="10"/>
        <v>22.119736785022784</v>
      </c>
      <c r="G31" s="153">
        <f t="shared" si="10"/>
        <v>24.499944735248896</v>
      </c>
      <c r="H31" s="154">
        <f t="shared" si="10"/>
        <v>28.930480260224424</v>
      </c>
      <c r="I31" s="155">
        <f t="shared" si="10"/>
        <v>33.751435027802032</v>
      </c>
      <c r="J31" s="156">
        <f t="shared" si="10"/>
        <v>39.887308907623122</v>
      </c>
      <c r="K31" s="157">
        <f t="shared" si="10"/>
        <v>46.521411175473574</v>
      </c>
      <c r="L31" s="233" t="s">
        <v>44</v>
      </c>
      <c r="M31" s="619">
        <v>4.1666666666666664E-2</v>
      </c>
      <c r="N31" s="620">
        <v>3</v>
      </c>
      <c r="O31" s="621">
        <v>0.44791666666666669</v>
      </c>
      <c r="P31" s="622">
        <v>125</v>
      </c>
      <c r="Q31" s="623" t="str">
        <f t="shared" ref="Q31:Q40" si="13">IF($R$29=1,IF(ISNA(W31),"too slow",W31),IF($R$29=2,IF(ISNA(X31),"too slow",X31),IF($R$29=3,IF(ISNA(Y31),"too slow",Y31),Z31)))</f>
        <v>too slow</v>
      </c>
      <c r="R31" s="624" t="str">
        <f t="shared" ref="R31:R40" si="14">IF(Q31="Too Slow","",IF($R$29=3,O31*N31*24*Q31,M31*1440*Q31))</f>
        <v/>
      </c>
      <c r="V31" s="246"/>
      <c r="W31" s="247" t="e">
        <f t="shared" ref="W31:W40" si="15">IF(M31*N31,LOOKUP(((0.182258*(1/((M31/N31)*1440)*IF($D$16,1000,1609.344))+(0.000104*(1/((M31/N31)*1440)*IF($D$16,1000,1609.344))^2)-4.6)/$I$6),$W$125:$W$204,$Y$125:$Y$204),0)</f>
        <v>#N/A</v>
      </c>
      <c r="X31" s="247" t="e">
        <f t="shared" ref="X31:X40" si="16">IF(M31*O31,LOOKUP(((0.182258*(1/(O31*24)*IF($D$16,1000,1609.344))+(0.000104*(1/(O31*24)*IF($D$16,1000,1609.344))^2)-4.6)/$I$6),$W$125:$W$204,$Y$125:$Y$204),0)</f>
        <v>#N/A</v>
      </c>
      <c r="Y31" s="247" t="e">
        <f t="shared" ref="Y31:Y40" si="17">IF(N31*O31,LOOKUP(((0.182258*(1/(O31*24)*IF($D$16,1000,1609.344))+(0.000104*(1/(O31*24)*IF($D$16,1000,1609.344))^2)-4.6)/$I$6),$W$125:$W$204,$Y$125:$Y$204),0)</f>
        <v>#N/A</v>
      </c>
      <c r="Z31" s="248">
        <f>IF(M31*P31,LOOKUP(MAX(P31/$E$3,0.56),$X$125:$X$204,$Y$125:$Y$204),0)</f>
        <v>0.10500000000000001</v>
      </c>
      <c r="AA31" s="249"/>
      <c r="AB31" s="207"/>
    </row>
    <row r="32" spans="1:29" ht="13.5" customHeight="1" x14ac:dyDescent="0.2">
      <c r="A32" s="12"/>
      <c r="B32" s="135">
        <f t="shared" si="11"/>
        <v>14</v>
      </c>
      <c r="C32" s="136" t="str">
        <f t="shared" si="12"/>
        <v xml:space="preserve">KM </v>
      </c>
      <c r="D32" s="205">
        <f t="shared" si="10"/>
        <v>11.34179859463225</v>
      </c>
      <c r="E32" s="151">
        <f t="shared" si="10"/>
        <v>19.343050862701986</v>
      </c>
      <c r="F32" s="152">
        <f t="shared" si="10"/>
        <v>23.821254999255302</v>
      </c>
      <c r="G32" s="153">
        <f t="shared" si="10"/>
        <v>26.384555868729581</v>
      </c>
      <c r="H32" s="154">
        <f t="shared" si="10"/>
        <v>31.155901818703224</v>
      </c>
      <c r="I32" s="155">
        <f t="shared" si="10"/>
        <v>36.347699260709881</v>
      </c>
      <c r="J32" s="156">
        <f t="shared" si="10"/>
        <v>42.955563438978757</v>
      </c>
      <c r="K32" s="157" t="s">
        <v>44</v>
      </c>
      <c r="L32" s="233" t="s">
        <v>44</v>
      </c>
      <c r="M32" s="250">
        <v>1.5370370370370369E-2</v>
      </c>
      <c r="N32" s="251">
        <v>5</v>
      </c>
      <c r="O32" s="252">
        <v>0.44791666666666669</v>
      </c>
      <c r="P32" s="253">
        <v>126</v>
      </c>
      <c r="Q32" s="244">
        <f t="shared" si="13"/>
        <v>2.1</v>
      </c>
      <c r="R32" s="245">
        <f t="shared" si="14"/>
        <v>46.480000000000004</v>
      </c>
      <c r="V32" s="246"/>
      <c r="W32" s="254">
        <f t="shared" si="15"/>
        <v>2.1</v>
      </c>
      <c r="X32" s="254" t="e">
        <f t="shared" si="16"/>
        <v>#N/A</v>
      </c>
      <c r="Y32" s="254" t="e">
        <f t="shared" si="17"/>
        <v>#N/A</v>
      </c>
      <c r="Z32" s="255">
        <f t="shared" ref="Z32:Z40" si="18">IF(M32*P32,LOOKUP(MAX(ROUND(P32/$E$3,2),0.65),$X$125:$X$204,$Y$125:$Y$204),0)</f>
        <v>0.11</v>
      </c>
      <c r="AA32" s="207"/>
      <c r="AB32" s="207"/>
      <c r="AC32" s="207"/>
    </row>
    <row r="33" spans="1:30" ht="13.5" customHeight="1" thickBot="1" x14ac:dyDescent="0.25">
      <c r="A33" s="12"/>
      <c r="B33" s="170">
        <f t="shared" si="11"/>
        <v>15</v>
      </c>
      <c r="C33" s="171" t="str">
        <f t="shared" si="12"/>
        <v xml:space="preserve">KM </v>
      </c>
      <c r="D33" s="216">
        <f t="shared" si="10"/>
        <v>12.151927065677409</v>
      </c>
      <c r="E33" s="173">
        <f t="shared" si="10"/>
        <v>20.724697352894985</v>
      </c>
      <c r="F33" s="174">
        <f t="shared" si="10"/>
        <v>25.522773213487827</v>
      </c>
      <c r="G33" s="175">
        <f t="shared" si="10"/>
        <v>28.269167002210267</v>
      </c>
      <c r="H33" s="176">
        <f t="shared" si="10"/>
        <v>33.381323377182028</v>
      </c>
      <c r="I33" s="177">
        <f t="shared" si="10"/>
        <v>38.943963493617723</v>
      </c>
      <c r="J33" s="178">
        <f t="shared" si="10"/>
        <v>46.023817970334377</v>
      </c>
      <c r="K33" s="179" t="s">
        <v>44</v>
      </c>
      <c r="L33" s="217" t="s">
        <v>44</v>
      </c>
      <c r="M33" s="250">
        <v>4.1666666666666664E-2</v>
      </c>
      <c r="N33" s="251">
        <v>7</v>
      </c>
      <c r="O33" s="252">
        <v>0.44791666666666669</v>
      </c>
      <c r="P33" s="253">
        <v>127</v>
      </c>
      <c r="Q33" s="244">
        <f t="shared" si="13"/>
        <v>0.1</v>
      </c>
      <c r="R33" s="245">
        <f t="shared" si="14"/>
        <v>6</v>
      </c>
      <c r="V33" s="246"/>
      <c r="W33" s="254">
        <f t="shared" si="15"/>
        <v>0.1</v>
      </c>
      <c r="X33" s="254" t="e">
        <f t="shared" si="16"/>
        <v>#N/A</v>
      </c>
      <c r="Y33" s="254" t="e">
        <f t="shared" si="17"/>
        <v>#N/A</v>
      </c>
      <c r="Z33" s="255">
        <f t="shared" si="18"/>
        <v>0.122</v>
      </c>
      <c r="AA33" s="207"/>
      <c r="AB33" s="207"/>
      <c r="AC33" s="207"/>
    </row>
    <row r="34" spans="1:30" ht="13.5" customHeight="1" x14ac:dyDescent="0.2">
      <c r="A34" s="12"/>
      <c r="B34" s="188">
        <f t="shared" si="11"/>
        <v>16</v>
      </c>
      <c r="C34" s="189" t="str">
        <f t="shared" si="12"/>
        <v xml:space="preserve">KM </v>
      </c>
      <c r="D34" s="190">
        <f t="shared" si="10"/>
        <v>12.962055536722572</v>
      </c>
      <c r="E34" s="191">
        <f t="shared" si="10"/>
        <v>22.106343843087984</v>
      </c>
      <c r="F34" s="192">
        <f t="shared" si="10"/>
        <v>27.224291427720349</v>
      </c>
      <c r="G34" s="193">
        <f t="shared" si="10"/>
        <v>30.153778135690949</v>
      </c>
      <c r="H34" s="194">
        <f t="shared" si="10"/>
        <v>35.606744935660828</v>
      </c>
      <c r="I34" s="195">
        <f t="shared" si="10"/>
        <v>41.540227726525579</v>
      </c>
      <c r="J34" s="196">
        <f t="shared" si="10"/>
        <v>49.092072501689998</v>
      </c>
      <c r="K34" s="197" t="s">
        <v>44</v>
      </c>
      <c r="L34" s="256" t="s">
        <v>44</v>
      </c>
      <c r="M34" s="250">
        <v>4.1666666666666664E-2</v>
      </c>
      <c r="N34" s="251">
        <v>9</v>
      </c>
      <c r="O34" s="252">
        <v>0.44791666666666669</v>
      </c>
      <c r="P34" s="253">
        <v>128</v>
      </c>
      <c r="Q34" s="244">
        <f t="shared" si="13"/>
        <v>0.3795</v>
      </c>
      <c r="R34" s="245">
        <f t="shared" si="14"/>
        <v>22.77</v>
      </c>
      <c r="V34" s="246"/>
      <c r="W34" s="254">
        <f t="shared" si="15"/>
        <v>0.3795</v>
      </c>
      <c r="X34" s="254" t="e">
        <f t="shared" si="16"/>
        <v>#N/A</v>
      </c>
      <c r="Y34" s="254" t="e">
        <f t="shared" si="17"/>
        <v>#N/A</v>
      </c>
      <c r="Z34" s="255">
        <f t="shared" si="18"/>
        <v>0.122</v>
      </c>
      <c r="AA34" s="207"/>
      <c r="AB34" s="207"/>
      <c r="AC34" s="207"/>
    </row>
    <row r="35" spans="1:30" ht="13.5" customHeight="1" x14ac:dyDescent="0.2">
      <c r="A35" s="12"/>
      <c r="B35" s="135">
        <f t="shared" si="11"/>
        <v>17</v>
      </c>
      <c r="C35" s="136" t="str">
        <f t="shared" si="12"/>
        <v xml:space="preserve">KM </v>
      </c>
      <c r="D35" s="205">
        <f t="shared" ref="D35:J44" si="19">IF(AND(D$18&lt;&gt;"-",AND(D$14&lt;&gt;"-",D$14&lt;&gt;0)),$B35*D$18*(IF($D$16,D$15,D$14)*1440),"-")</f>
        <v>13.772184007767732</v>
      </c>
      <c r="E35" s="151">
        <f t="shared" si="19"/>
        <v>23.487990333280983</v>
      </c>
      <c r="F35" s="152">
        <f t="shared" si="19"/>
        <v>28.925809641952871</v>
      </c>
      <c r="G35" s="153">
        <f t="shared" si="19"/>
        <v>32.038389269171631</v>
      </c>
      <c r="H35" s="154">
        <f t="shared" si="19"/>
        <v>37.832166494139635</v>
      </c>
      <c r="I35" s="155">
        <f t="shared" si="19"/>
        <v>44.136491959433428</v>
      </c>
      <c r="J35" s="156">
        <f t="shared" si="19"/>
        <v>52.160327033045625</v>
      </c>
      <c r="K35" s="157" t="s">
        <v>44</v>
      </c>
      <c r="L35" s="233" t="s">
        <v>44</v>
      </c>
      <c r="M35" s="250">
        <v>4.1666666666666664E-2</v>
      </c>
      <c r="N35" s="251">
        <v>11</v>
      </c>
      <c r="O35" s="252">
        <v>0.4861111111111111</v>
      </c>
      <c r="P35" s="253">
        <v>129</v>
      </c>
      <c r="Q35" s="244">
        <f t="shared" si="13"/>
        <v>0.96</v>
      </c>
      <c r="R35" s="245">
        <f t="shared" si="14"/>
        <v>57.599999999999994</v>
      </c>
      <c r="V35" s="246"/>
      <c r="W35" s="254">
        <f t="shared" si="15"/>
        <v>0.96</v>
      </c>
      <c r="X35" s="254" t="e">
        <f t="shared" si="16"/>
        <v>#N/A</v>
      </c>
      <c r="Y35" s="254" t="e">
        <f t="shared" si="17"/>
        <v>#N/A</v>
      </c>
      <c r="Z35" s="255">
        <f t="shared" si="18"/>
        <v>0.13500000000000001</v>
      </c>
      <c r="AA35" s="207"/>
      <c r="AB35" s="207"/>
      <c r="AC35" s="207"/>
    </row>
    <row r="36" spans="1:30" ht="13.5" customHeight="1" x14ac:dyDescent="0.2">
      <c r="A36" s="12"/>
      <c r="B36" s="135">
        <f t="shared" si="11"/>
        <v>18</v>
      </c>
      <c r="C36" s="136" t="str">
        <f t="shared" si="12"/>
        <v xml:space="preserve">KM </v>
      </c>
      <c r="D36" s="205">
        <f t="shared" si="19"/>
        <v>14.582312478812891</v>
      </c>
      <c r="E36" s="151">
        <f t="shared" si="19"/>
        <v>24.869636823473982</v>
      </c>
      <c r="F36" s="152">
        <f t="shared" si="19"/>
        <v>30.627327856185389</v>
      </c>
      <c r="G36" s="153">
        <f t="shared" si="19"/>
        <v>33.923000402652313</v>
      </c>
      <c r="H36" s="154">
        <f t="shared" si="19"/>
        <v>40.057588052618435</v>
      </c>
      <c r="I36" s="155">
        <f t="shared" si="19"/>
        <v>46.73275619234127</v>
      </c>
      <c r="J36" s="156">
        <f t="shared" si="19"/>
        <v>55.228581564401246</v>
      </c>
      <c r="K36" s="157" t="s">
        <v>44</v>
      </c>
      <c r="L36" s="233" t="s">
        <v>44</v>
      </c>
      <c r="M36" s="250">
        <v>4.1666666666666664E-2</v>
      </c>
      <c r="N36" s="251">
        <v>13</v>
      </c>
      <c r="O36" s="252"/>
      <c r="P36" s="253">
        <v>130</v>
      </c>
      <c r="Q36" s="244">
        <f t="shared" si="13"/>
        <v>2.1</v>
      </c>
      <c r="R36" s="245">
        <f t="shared" si="14"/>
        <v>126</v>
      </c>
      <c r="V36" s="246"/>
      <c r="W36" s="254">
        <f t="shared" si="15"/>
        <v>2.1</v>
      </c>
      <c r="X36" s="254">
        <f t="shared" si="16"/>
        <v>0</v>
      </c>
      <c r="Y36" s="254">
        <f t="shared" si="17"/>
        <v>0</v>
      </c>
      <c r="Z36" s="255">
        <f t="shared" si="18"/>
        <v>0.13500000000000001</v>
      </c>
      <c r="AA36" s="214"/>
      <c r="AB36" s="214"/>
      <c r="AC36" s="214"/>
      <c r="AD36" s="214"/>
    </row>
    <row r="37" spans="1:30" ht="13.5" customHeight="1" x14ac:dyDescent="0.2">
      <c r="A37" s="12"/>
      <c r="B37" s="135">
        <f t="shared" si="11"/>
        <v>19</v>
      </c>
      <c r="C37" s="136" t="str">
        <f t="shared" si="12"/>
        <v xml:space="preserve">KM </v>
      </c>
      <c r="D37" s="205">
        <f t="shared" si="19"/>
        <v>15.392440949858054</v>
      </c>
      <c r="E37" s="151">
        <f t="shared" si="19"/>
        <v>26.251283313666981</v>
      </c>
      <c r="F37" s="152">
        <f t="shared" si="19"/>
        <v>32.328846070417917</v>
      </c>
      <c r="G37" s="153">
        <f t="shared" si="19"/>
        <v>35.807611536133003</v>
      </c>
      <c r="H37" s="154">
        <f t="shared" si="19"/>
        <v>42.283009611097235</v>
      </c>
      <c r="I37" s="155">
        <f t="shared" si="19"/>
        <v>49.329020425249119</v>
      </c>
      <c r="J37" s="156">
        <f t="shared" si="19"/>
        <v>58.296836095756873</v>
      </c>
      <c r="K37" s="157" t="s">
        <v>44</v>
      </c>
      <c r="L37" s="233" t="s">
        <v>44</v>
      </c>
      <c r="M37" s="250"/>
      <c r="N37" s="251"/>
      <c r="O37" s="252"/>
      <c r="P37" s="253"/>
      <c r="Q37" s="244">
        <f t="shared" si="13"/>
        <v>0</v>
      </c>
      <c r="R37" s="245">
        <f t="shared" si="14"/>
        <v>0</v>
      </c>
      <c r="V37" s="246"/>
      <c r="W37" s="254">
        <f t="shared" si="15"/>
        <v>0</v>
      </c>
      <c r="X37" s="254">
        <f t="shared" si="16"/>
        <v>0</v>
      </c>
      <c r="Y37" s="254">
        <f t="shared" si="17"/>
        <v>0</v>
      </c>
      <c r="Z37" s="255">
        <f t="shared" si="18"/>
        <v>0</v>
      </c>
      <c r="AA37" s="214"/>
      <c r="AB37" s="214"/>
      <c r="AC37" s="214"/>
      <c r="AD37" s="214"/>
    </row>
    <row r="38" spans="1:30" ht="13.5" customHeight="1" thickBot="1" x14ac:dyDescent="0.25">
      <c r="A38" s="12"/>
      <c r="B38" s="170">
        <f t="shared" si="11"/>
        <v>20</v>
      </c>
      <c r="C38" s="171" t="str">
        <f t="shared" si="12"/>
        <v xml:space="preserve">KM </v>
      </c>
      <c r="D38" s="216">
        <f t="shared" si="19"/>
        <v>16.202569420903213</v>
      </c>
      <c r="E38" s="173">
        <f t="shared" si="19"/>
        <v>27.63292980385998</v>
      </c>
      <c r="F38" s="174">
        <f t="shared" si="19"/>
        <v>34.030364284650432</v>
      </c>
      <c r="G38" s="175">
        <f t="shared" si="19"/>
        <v>37.692222669613685</v>
      </c>
      <c r="H38" s="176">
        <f t="shared" si="19"/>
        <v>44.508431169576035</v>
      </c>
      <c r="I38" s="177">
        <f t="shared" si="19"/>
        <v>51.925284658156968</v>
      </c>
      <c r="J38" s="178">
        <f t="shared" si="19"/>
        <v>61.365090627112494</v>
      </c>
      <c r="K38" s="179" t="s">
        <v>44</v>
      </c>
      <c r="L38" s="217" t="s">
        <v>44</v>
      </c>
      <c r="M38" s="250"/>
      <c r="N38" s="251"/>
      <c r="O38" s="252"/>
      <c r="P38" s="253"/>
      <c r="Q38" s="244">
        <f t="shared" si="13"/>
        <v>0</v>
      </c>
      <c r="R38" s="245">
        <f t="shared" si="14"/>
        <v>0</v>
      </c>
      <c r="V38" s="246"/>
      <c r="W38" s="254">
        <f t="shared" si="15"/>
        <v>0</v>
      </c>
      <c r="X38" s="254">
        <f t="shared" si="16"/>
        <v>0</v>
      </c>
      <c r="Y38" s="254">
        <f t="shared" si="17"/>
        <v>0</v>
      </c>
      <c r="Z38" s="255">
        <f t="shared" si="18"/>
        <v>0</v>
      </c>
      <c r="AA38" s="214"/>
      <c r="AB38" s="214"/>
      <c r="AC38" s="214"/>
      <c r="AD38" s="214"/>
    </row>
    <row r="39" spans="1:30" ht="13.5" customHeight="1" x14ac:dyDescent="0.2">
      <c r="A39" s="12"/>
      <c r="B39" s="188">
        <f t="shared" si="11"/>
        <v>21</v>
      </c>
      <c r="C39" s="189" t="str">
        <f t="shared" si="12"/>
        <v xml:space="preserve">KM </v>
      </c>
      <c r="D39" s="190">
        <f t="shared" si="19"/>
        <v>17.012697891948374</v>
      </c>
      <c r="E39" s="191">
        <f t="shared" si="19"/>
        <v>29.014576294052979</v>
      </c>
      <c r="F39" s="192">
        <f t="shared" si="19"/>
        <v>35.73188249888296</v>
      </c>
      <c r="G39" s="193">
        <f t="shared" si="19"/>
        <v>39.576833803094367</v>
      </c>
      <c r="H39" s="194">
        <f t="shared" si="19"/>
        <v>46.733852728054835</v>
      </c>
      <c r="I39" s="195">
        <f t="shared" si="19"/>
        <v>54.521548891064825</v>
      </c>
      <c r="J39" s="196">
        <f t="shared" si="19"/>
        <v>64.433345158468128</v>
      </c>
      <c r="K39" s="197" t="s">
        <v>44</v>
      </c>
      <c r="L39" s="256" t="s">
        <v>44</v>
      </c>
      <c r="M39" s="257"/>
      <c r="N39" s="258"/>
      <c r="O39" s="259"/>
      <c r="P39" s="260"/>
      <c r="Q39" s="261">
        <f t="shared" si="13"/>
        <v>0</v>
      </c>
      <c r="R39" s="262">
        <f t="shared" si="14"/>
        <v>0</v>
      </c>
      <c r="V39" s="246"/>
      <c r="W39" s="254">
        <f t="shared" si="15"/>
        <v>0</v>
      </c>
      <c r="X39" s="254">
        <f t="shared" si="16"/>
        <v>0</v>
      </c>
      <c r="Y39" s="254">
        <f t="shared" si="17"/>
        <v>0</v>
      </c>
      <c r="Z39" s="255">
        <f t="shared" si="18"/>
        <v>0</v>
      </c>
      <c r="AA39" s="214"/>
      <c r="AB39" s="214"/>
      <c r="AC39" s="214"/>
      <c r="AD39" s="214"/>
    </row>
    <row r="40" spans="1:30" ht="13.5" customHeight="1" thickBot="1" x14ac:dyDescent="0.25">
      <c r="A40" s="12"/>
      <c r="B40" s="135">
        <f t="shared" si="11"/>
        <v>22</v>
      </c>
      <c r="C40" s="136" t="str">
        <f t="shared" si="12"/>
        <v xml:space="preserve">KM </v>
      </c>
      <c r="D40" s="205">
        <f t="shared" si="19"/>
        <v>17.822826362993535</v>
      </c>
      <c r="E40" s="151">
        <f t="shared" si="19"/>
        <v>30.396222784245978</v>
      </c>
      <c r="F40" s="152">
        <f t="shared" si="19"/>
        <v>37.433400713115482</v>
      </c>
      <c r="G40" s="153">
        <f t="shared" si="19"/>
        <v>41.461444936575056</v>
      </c>
      <c r="H40" s="154">
        <f t="shared" si="19"/>
        <v>48.959274286533642</v>
      </c>
      <c r="I40" s="155">
        <f t="shared" si="19"/>
        <v>57.117813123972667</v>
      </c>
      <c r="J40" s="156">
        <f t="shared" si="19"/>
        <v>67.501599689823749</v>
      </c>
      <c r="K40" s="157" t="s">
        <v>44</v>
      </c>
      <c r="L40" s="233" t="s">
        <v>44</v>
      </c>
      <c r="M40" s="263"/>
      <c r="N40" s="264"/>
      <c r="O40" s="265"/>
      <c r="P40" s="266"/>
      <c r="Q40" s="261">
        <f t="shared" si="13"/>
        <v>0</v>
      </c>
      <c r="R40" s="262">
        <f t="shared" si="14"/>
        <v>0</v>
      </c>
      <c r="V40" s="246"/>
      <c r="W40" s="267">
        <f t="shared" si="15"/>
        <v>0</v>
      </c>
      <c r="X40" s="267">
        <f t="shared" si="16"/>
        <v>0</v>
      </c>
      <c r="Y40" s="267">
        <f t="shared" si="17"/>
        <v>0</v>
      </c>
      <c r="Z40" s="268">
        <f t="shared" si="18"/>
        <v>0</v>
      </c>
      <c r="AA40" s="214"/>
      <c r="AB40" s="214"/>
      <c r="AC40" s="214"/>
      <c r="AD40" s="214"/>
    </row>
    <row r="41" spans="1:30" ht="13.5" customHeight="1" thickBot="1" x14ac:dyDescent="0.25">
      <c r="A41" s="12"/>
      <c r="B41" s="135">
        <f t="shared" si="11"/>
        <v>23</v>
      </c>
      <c r="C41" s="136" t="str">
        <f t="shared" si="12"/>
        <v xml:space="preserve">KM </v>
      </c>
      <c r="D41" s="205">
        <f t="shared" si="19"/>
        <v>18.632954834038696</v>
      </c>
      <c r="E41" s="151">
        <f t="shared" si="19"/>
        <v>31.777869274438974</v>
      </c>
      <c r="F41" s="152">
        <f t="shared" si="19"/>
        <v>39.134918927347996</v>
      </c>
      <c r="G41" s="153">
        <f t="shared" si="19"/>
        <v>43.346056070055738</v>
      </c>
      <c r="H41" s="154">
        <f t="shared" si="19"/>
        <v>51.184695845012442</v>
      </c>
      <c r="I41" s="155">
        <f t="shared" si="19"/>
        <v>59.714077356880516</v>
      </c>
      <c r="J41" s="156">
        <f t="shared" si="19"/>
        <v>70.569854221179384</v>
      </c>
      <c r="K41" s="157" t="s">
        <v>44</v>
      </c>
      <c r="L41" s="233" t="s">
        <v>44</v>
      </c>
      <c r="M41" s="269">
        <f>IF(SUM(M31:M40)&gt;0,SUM(M31:M40),"")</f>
        <v>0.22370370370370368</v>
      </c>
      <c r="N41" s="270">
        <f>IF(SUM(N31:N40)&gt;0,SUM(N31:N40),"")</f>
        <v>48</v>
      </c>
      <c r="O41" s="271">
        <f>IF(SUM(O31:O40)&gt;0,AVERAGE(O31:O40),"")</f>
        <v>0.45555555555555555</v>
      </c>
      <c r="P41" s="272">
        <f>IF(SUM(P31:P40)&gt;0,AVERAGE(P31:P40),"")</f>
        <v>127.5</v>
      </c>
      <c r="Q41" s="273"/>
      <c r="R41" s="274">
        <f>IF(SUM(R31:R40)&gt;0,SUM(R31:R40),"")</f>
        <v>258.85000000000002</v>
      </c>
      <c r="S41" s="122"/>
      <c r="T41" s="122"/>
      <c r="U41" s="122"/>
      <c r="V41" s="275"/>
      <c r="W41" s="276"/>
      <c r="X41" s="214"/>
      <c r="Y41" s="214"/>
      <c r="Z41" s="214"/>
      <c r="AA41" s="214"/>
      <c r="AB41" s="214"/>
    </row>
    <row r="42" spans="1:30" ht="13.5" customHeight="1" thickTop="1" thickBot="1" x14ac:dyDescent="0.25">
      <c r="A42" s="12"/>
      <c r="B42" s="135">
        <f t="shared" si="11"/>
        <v>24</v>
      </c>
      <c r="C42" s="136" t="str">
        <f t="shared" si="12"/>
        <v xml:space="preserve">KM </v>
      </c>
      <c r="D42" s="205">
        <f t="shared" si="19"/>
        <v>19.44308330508386</v>
      </c>
      <c r="E42" s="151">
        <f t="shared" si="19"/>
        <v>33.159515764631976</v>
      </c>
      <c r="F42" s="152">
        <f t="shared" si="19"/>
        <v>40.836437141580525</v>
      </c>
      <c r="G42" s="153">
        <f t="shared" si="19"/>
        <v>45.23066720353642</v>
      </c>
      <c r="H42" s="154">
        <f t="shared" si="19"/>
        <v>53.410117403491249</v>
      </c>
      <c r="I42" s="155">
        <f t="shared" si="19"/>
        <v>62.310341589788372</v>
      </c>
      <c r="J42" s="156">
        <f t="shared" si="19"/>
        <v>73.638108752535004</v>
      </c>
      <c r="K42" s="157" t="s">
        <v>44</v>
      </c>
      <c r="L42" s="233" t="s">
        <v>44</v>
      </c>
      <c r="M42" s="995" t="s">
        <v>59</v>
      </c>
      <c r="N42" s="996"/>
      <c r="O42" s="996"/>
      <c r="P42" s="996"/>
      <c r="Q42" s="996"/>
      <c r="R42" s="997"/>
      <c r="S42" s="122"/>
      <c r="T42" s="122"/>
      <c r="U42" s="122"/>
      <c r="V42" s="277"/>
      <c r="W42" s="276"/>
      <c r="X42" s="214"/>
      <c r="Y42" s="214"/>
      <c r="Z42" s="214"/>
      <c r="AA42" s="214"/>
      <c r="AB42" s="214"/>
    </row>
    <row r="43" spans="1:30" ht="13.5" customHeight="1" thickBot="1" x14ac:dyDescent="0.25">
      <c r="A43" s="12"/>
      <c r="B43" s="135">
        <f t="shared" si="11"/>
        <v>25</v>
      </c>
      <c r="C43" s="136" t="str">
        <f t="shared" si="12"/>
        <v xml:space="preserve">KM </v>
      </c>
      <c r="D43" s="216">
        <f t="shared" si="19"/>
        <v>20.253211776129017</v>
      </c>
      <c r="E43" s="173">
        <f t="shared" si="19"/>
        <v>34.541162254824975</v>
      </c>
      <c r="F43" s="174">
        <f t="shared" si="19"/>
        <v>42.537955355813047</v>
      </c>
      <c r="G43" s="175">
        <f t="shared" si="19"/>
        <v>47.115278337017109</v>
      </c>
      <c r="H43" s="176">
        <f t="shared" si="19"/>
        <v>55.635538961970042</v>
      </c>
      <c r="I43" s="177">
        <f t="shared" si="19"/>
        <v>64.906605822696221</v>
      </c>
      <c r="J43" s="178">
        <f t="shared" si="19"/>
        <v>76.706363283890624</v>
      </c>
      <c r="K43" s="179" t="s">
        <v>44</v>
      </c>
      <c r="L43" s="217" t="s">
        <v>44</v>
      </c>
      <c r="M43" s="998" t="s">
        <v>60</v>
      </c>
      <c r="N43" s="999"/>
      <c r="O43" s="999"/>
      <c r="P43" s="999" t="s">
        <v>61</v>
      </c>
      <c r="Q43" s="999"/>
      <c r="R43" s="1000"/>
      <c r="S43" s="122"/>
      <c r="T43" s="122"/>
      <c r="U43" s="122"/>
    </row>
    <row r="44" spans="1:30" ht="13.5" customHeight="1" thickBot="1" x14ac:dyDescent="0.25">
      <c r="A44" s="12"/>
      <c r="B44" s="170">
        <f t="shared" si="11"/>
        <v>26</v>
      </c>
      <c r="C44" s="171" t="str">
        <f t="shared" si="12"/>
        <v xml:space="preserve">KM </v>
      </c>
      <c r="D44" s="172">
        <f t="shared" si="19"/>
        <v>21.063340247174178</v>
      </c>
      <c r="E44" s="278">
        <f t="shared" si="19"/>
        <v>35.922808745017974</v>
      </c>
      <c r="F44" s="279">
        <f t="shared" si="19"/>
        <v>44.239473570045568</v>
      </c>
      <c r="G44" s="280">
        <f t="shared" si="19"/>
        <v>48.999889470497791</v>
      </c>
      <c r="H44" s="281">
        <f t="shared" si="19"/>
        <v>57.860960520448849</v>
      </c>
      <c r="I44" s="282">
        <f t="shared" si="19"/>
        <v>67.502870055604063</v>
      </c>
      <c r="J44" s="283">
        <f t="shared" si="19"/>
        <v>79.774617815246245</v>
      </c>
      <c r="K44" s="284" t="s">
        <v>44</v>
      </c>
      <c r="L44" s="285" t="s">
        <v>44</v>
      </c>
      <c r="M44" s="1001" t="s">
        <v>62</v>
      </c>
      <c r="N44" s="1002"/>
      <c r="O44" s="1002"/>
      <c r="P44" s="1002" t="s">
        <v>63</v>
      </c>
      <c r="Q44" s="1002"/>
      <c r="R44" s="1003"/>
      <c r="S44" s="122"/>
      <c r="T44" s="122"/>
      <c r="U44" s="122"/>
    </row>
    <row r="45" spans="1:30" ht="13.5" customHeight="1" thickBot="1" x14ac:dyDescent="0.25">
      <c r="A45" s="12"/>
      <c r="B45" s="1004" t="s">
        <v>64</v>
      </c>
      <c r="C45" s="1005"/>
      <c r="D45" s="1005"/>
      <c r="E45" s="1005"/>
      <c r="F45" s="1005"/>
      <c r="G45" s="1005"/>
      <c r="H45" s="1005"/>
      <c r="I45" s="1005"/>
      <c r="J45" s="1005"/>
      <c r="K45" s="1005"/>
      <c r="L45" s="1005"/>
      <c r="M45" s="1005"/>
      <c r="N45" s="1005"/>
      <c r="O45" s="1005"/>
      <c r="P45" s="1005"/>
      <c r="Q45" s="1005"/>
      <c r="R45" s="1006"/>
      <c r="S45" s="122"/>
      <c r="T45" s="122"/>
      <c r="U45" s="122"/>
    </row>
    <row r="46" spans="1:30" ht="13.5" customHeight="1" thickTop="1" thickBot="1" x14ac:dyDescent="0.25">
      <c r="A46" s="12"/>
      <c r="B46" s="286"/>
      <c r="C46" s="287"/>
      <c r="D46" s="286"/>
      <c r="E46" s="288"/>
      <c r="F46" s="286"/>
      <c r="G46" s="288"/>
      <c r="H46" s="288"/>
      <c r="I46" s="286"/>
      <c r="J46" s="286"/>
      <c r="K46" s="288"/>
      <c r="L46" s="288"/>
      <c r="M46" s="288"/>
      <c r="N46" s="288"/>
      <c r="O46" s="288"/>
      <c r="P46" s="288"/>
      <c r="Q46" s="288"/>
      <c r="R46" s="288"/>
      <c r="S46" s="122"/>
      <c r="T46" s="122"/>
      <c r="U46" s="122"/>
      <c r="W46" s="1007" t="s">
        <v>395</v>
      </c>
      <c r="X46" s="1007"/>
    </row>
    <row r="47" spans="1:30" ht="13.5" customHeight="1" thickTop="1" thickBot="1" x14ac:dyDescent="0.25">
      <c r="A47" s="12"/>
      <c r="B47" s="1024" t="str">
        <f>"Pace for Tempo Runs of 20 to 60 Minutes at VDOT "&amp;ROUND($I$6,2) &amp; " (Daniels)"</f>
        <v>Pace for Tempo Runs of 20 to 60 Minutes at VDOT 32.78 (Daniels)</v>
      </c>
      <c r="C47" s="1025"/>
      <c r="D47" s="1025"/>
      <c r="E47" s="1025"/>
      <c r="F47" s="1025"/>
      <c r="G47" s="1025"/>
      <c r="H47" s="1025"/>
      <c r="I47" s="1025"/>
      <c r="J47" s="1025"/>
      <c r="K47" s="1025"/>
      <c r="L47" s="289" t="b">
        <v>0</v>
      </c>
      <c r="M47" s="290" t="s">
        <v>65</v>
      </c>
      <c r="N47" s="1026" t="s">
        <v>66</v>
      </c>
      <c r="O47" s="1027"/>
      <c r="P47" s="1027"/>
      <c r="Q47" s="1028" t="s">
        <v>67</v>
      </c>
      <c r="R47" s="1029"/>
      <c r="S47" s="122"/>
      <c r="T47" s="122"/>
      <c r="U47" s="122"/>
      <c r="W47" s="984" t="s">
        <v>396</v>
      </c>
      <c r="X47" s="984"/>
      <c r="Y47" s="984" t="s">
        <v>397</v>
      </c>
      <c r="Z47" s="984"/>
      <c r="AA47" s="984"/>
      <c r="AB47" s="984"/>
    </row>
    <row r="48" spans="1:30" ht="13.5" customHeight="1" thickBot="1" x14ac:dyDescent="0.25">
      <c r="A48" s="12"/>
      <c r="B48" s="1032" t="s">
        <v>68</v>
      </c>
      <c r="C48" s="1033"/>
      <c r="D48" s="291">
        <v>20</v>
      </c>
      <c r="E48" s="292">
        <v>25</v>
      </c>
      <c r="F48" s="292">
        <v>30</v>
      </c>
      <c r="G48" s="292">
        <v>35</v>
      </c>
      <c r="H48" s="292">
        <v>40</v>
      </c>
      <c r="I48" s="292">
        <v>45</v>
      </c>
      <c r="J48" s="292">
        <v>50</v>
      </c>
      <c r="K48" s="292">
        <v>55</v>
      </c>
      <c r="L48" s="293">
        <v>60</v>
      </c>
      <c r="M48" s="294" t="s">
        <v>69</v>
      </c>
      <c r="N48" s="718" t="str">
        <f ca="1">"Age: "&amp;$E$5</f>
        <v>Age: 48</v>
      </c>
      <c r="O48" s="295"/>
      <c r="P48" s="716">
        <f ca="1">$E$5</f>
        <v>48</v>
      </c>
      <c r="Q48" s="296" t="s">
        <v>70</v>
      </c>
      <c r="R48" s="297">
        <v>35</v>
      </c>
      <c r="S48" s="643"/>
      <c r="T48" s="993" t="s">
        <v>262</v>
      </c>
      <c r="U48" s="994"/>
      <c r="V48" s="2"/>
      <c r="W48" s="644"/>
      <c r="X48" s="665" t="s">
        <v>347</v>
      </c>
      <c r="Y48" s="1250" t="s">
        <v>139</v>
      </c>
      <c r="Z48" s="1251"/>
      <c r="AA48" s="1251" t="s">
        <v>168</v>
      </c>
      <c r="AB48" s="1252"/>
    </row>
    <row r="49" spans="1:28" ht="13.5" customHeight="1" thickBot="1" x14ac:dyDescent="0.25">
      <c r="A49" s="12"/>
      <c r="B49" s="1010" t="str">
        <f>IF($L$47,"Pace / km","Pace / mile")</f>
        <v>Pace / mile</v>
      </c>
      <c r="C49" s="1011"/>
      <c r="D49" s="299">
        <f>IF($L$6&lt;&gt;"-",IF($L$47,$L$6*0.621371192,$L$6),"-")</f>
        <v>6.6714203666741858E-3</v>
      </c>
      <c r="E49" s="300">
        <f>IF($D$49&lt;&gt;"-",D$49*1.012,"-")</f>
        <v>6.7514774110742758E-3</v>
      </c>
      <c r="F49" s="300">
        <f>IF($D$49&lt;&gt;"-",$D$49*1.022,"-")</f>
        <v>6.818191614741018E-3</v>
      </c>
      <c r="G49" s="300">
        <f>IF($D$49&lt;&gt;"-",$D$49*1.027,"-")</f>
        <v>6.8515487165743882E-3</v>
      </c>
      <c r="H49" s="300">
        <f>IF($D$49&lt;&gt;"-",$D$49*1.033,"-")</f>
        <v>6.8915772387744337E-3</v>
      </c>
      <c r="I49" s="300">
        <f>IF($D$49&lt;&gt;"-",$D$49*1.038,"-")</f>
        <v>6.9249343406078048E-3</v>
      </c>
      <c r="J49" s="300">
        <f>IF($D$49&lt;&gt;"-",$D$49*1.043,"-")</f>
        <v>6.958291442441175E-3</v>
      </c>
      <c r="K49" s="300">
        <f>IF($D$49&lt;&gt;"-",$D$49*1.04866,"-")</f>
        <v>6.9960516817165509E-3</v>
      </c>
      <c r="L49" s="301">
        <f>IF($D$49&lt;&gt;"-",$D$49*1.055,"-")</f>
        <v>7.0383484868412659E-3</v>
      </c>
      <c r="M49" s="302">
        <v>0.53541666666666665</v>
      </c>
      <c r="N49" s="303" t="s">
        <v>5</v>
      </c>
      <c r="O49" s="304" t="s">
        <v>52</v>
      </c>
      <c r="P49" s="305" t="str">
        <f>IF($P$70,"Pace/ km","Pace/ mi")</f>
        <v>Pace/ km</v>
      </c>
      <c r="Q49" s="306" t="b">
        <v>1</v>
      </c>
      <c r="R49" s="307" t="str">
        <f>IF($P$70,"Pace/ km","Pace/ mi")</f>
        <v>Pace/ km</v>
      </c>
      <c r="S49" s="603" t="s">
        <v>71</v>
      </c>
      <c r="T49" s="588" t="s">
        <v>72</v>
      </c>
      <c r="U49" s="589" t="s">
        <v>73</v>
      </c>
      <c r="V49" s="298"/>
      <c r="W49" s="645" t="s">
        <v>193</v>
      </c>
      <c r="X49" s="646" t="s">
        <v>348</v>
      </c>
      <c r="Y49" s="666" t="s">
        <v>72</v>
      </c>
      <c r="Z49" s="667" t="s">
        <v>73</v>
      </c>
      <c r="AA49" s="667" t="s">
        <v>72</v>
      </c>
      <c r="AB49" s="668" t="s">
        <v>73</v>
      </c>
    </row>
    <row r="50" spans="1:28" ht="13.5" customHeight="1" thickBot="1" x14ac:dyDescent="0.25">
      <c r="B50" s="1012" t="s">
        <v>74</v>
      </c>
      <c r="C50" s="1013"/>
      <c r="D50" s="308" t="str">
        <f t="shared" ref="D50:L50" si="20">IF(D49&lt;&gt;"-",IF($L$47,ROUND(D48/D49/1440,1)&amp;" km",ROUND(D48/D49/1440,1)&amp;" mi"),"-")</f>
        <v>2.1 mi</v>
      </c>
      <c r="E50" s="309" t="str">
        <f t="shared" si="20"/>
        <v>2.6 mi</v>
      </c>
      <c r="F50" s="309" t="str">
        <f t="shared" si="20"/>
        <v>3.1 mi</v>
      </c>
      <c r="G50" s="309" t="str">
        <f t="shared" si="20"/>
        <v>3.5 mi</v>
      </c>
      <c r="H50" s="309" t="str">
        <f t="shared" si="20"/>
        <v>4 mi</v>
      </c>
      <c r="I50" s="309" t="str">
        <f t="shared" si="20"/>
        <v>4.5 mi</v>
      </c>
      <c r="J50" s="309" t="str">
        <f t="shared" si="20"/>
        <v>5 mi</v>
      </c>
      <c r="K50" s="309" t="str">
        <f t="shared" si="20"/>
        <v>5.5 mi</v>
      </c>
      <c r="L50" s="310" t="str">
        <f t="shared" si="20"/>
        <v>5.9 mi</v>
      </c>
      <c r="M50" s="311">
        <v>0.50763888888888886</v>
      </c>
      <c r="N50" s="312" t="s">
        <v>75</v>
      </c>
      <c r="O50" s="313">
        <f>IF(AND($E$6&gt;0,$G$6&gt;0),IF($G$16=1,(1/(29.54+5.000663*($I$6*(X50))-0.007546*($I$6*(X50))^2)/1440)*W50,($G$6*(S50/$D$8)^1.06)),"-")</f>
        <v>5.4560878696826819E-3</v>
      </c>
      <c r="P50" s="314">
        <f t="shared" ref="P50:P69" si="21">IF(O50&lt;&gt;"-",O50/S50*IF($P$70,0.621371192,1),"-")</f>
        <v>3.6373919117324788E-3</v>
      </c>
      <c r="Q50" s="315">
        <f t="shared" ref="Q50:Q69" ca="1" si="22">IF($O$84="yes",(O50*LOOKUP($E$5,$AB$125:$AB$220,IF($C$4,$AC$125:$AC$220,$AD$125:$AD$220))/LOOKUP($R$48,$AB$125:$AB$220,IF($Q$49,$AC$125:$AC$220,$AD$125:$AD$220)))*(IF(AND($C$4,NOT($Q$49)),LOOKUP($E$5,$AB$125:$AB$220,$AE$125:$AE$220),IF(AND(NOT($C$4),$Q$49),1/LOOKUP($R$48,$AB$125:$AB$220,$AE$125:$AE$220),1))),"-")</f>
        <v>4.9877119132801882E-3</v>
      </c>
      <c r="R50" s="316">
        <f t="shared" ref="R50:R69" ca="1" si="23">IF($O$84="yes",Q50/S50*IF($P$70,0.621371192,1),"-")</f>
        <v>3.3251412742500812E-3</v>
      </c>
      <c r="S50" s="604">
        <f>1.5/1.609344</f>
        <v>0.93205678835600092</v>
      </c>
      <c r="T50" s="579">
        <v>2.3726851851851851E-3</v>
      </c>
      <c r="U50" s="580">
        <v>2.6967592592592594E-3</v>
      </c>
      <c r="V50" s="590" t="s">
        <v>261</v>
      </c>
      <c r="W50" s="647">
        <f>S50*1609.344</f>
        <v>1500</v>
      </c>
      <c r="X50" s="669">
        <f t="shared" ref="X50:X69" si="24">IF($G$6&gt;0,0.8+0.1894393 * EXP(-0.012778*O50*1440)+0.2989558* EXP(-0.1932605*O50*1440),0)</f>
        <v>1.036833999840036</v>
      </c>
      <c r="Y50" s="670">
        <f>0.8+0.1894393 * EXP(-0.012778*T50*1440)+0.2989558* EXP(-0.1932605*T50*1440)</f>
        <v>1.1358149877746491</v>
      </c>
      <c r="Z50" s="671">
        <f>0.8+0.1894393 * EXP(-0.012778*U50*1440)+0.2989558* EXP(-0.1932605*U50*1440)</f>
        <v>1.1214153470101593</v>
      </c>
      <c r="AA50" s="672">
        <f>(-4.6 + 0.182258 * ($W50/T50/1440) + 0.000104 *($W50/T50/1440)^2)/Y50</f>
        <v>84.04618668391106</v>
      </c>
      <c r="AB50" s="673">
        <f>(-4.6 + 0.182258 * ($W50/U50/1440) + 0.000104 *($W50/U50/1440)^2)/Z50</f>
        <v>72.512866536383726</v>
      </c>
    </row>
    <row r="51" spans="1:28" ht="13.5" customHeight="1" thickBot="1" x14ac:dyDescent="0.25">
      <c r="B51" s="1014" t="s">
        <v>76</v>
      </c>
      <c r="C51" s="1015"/>
      <c r="D51" s="1015"/>
      <c r="E51" s="1015"/>
      <c r="F51" s="1015"/>
      <c r="G51" s="1015"/>
      <c r="H51" s="1015"/>
      <c r="I51" s="1015"/>
      <c r="J51" s="1015"/>
      <c r="K51" s="1015"/>
      <c r="L51" s="1016"/>
      <c r="M51" s="311">
        <v>0.42638888888888887</v>
      </c>
      <c r="N51" s="317" t="s">
        <v>28</v>
      </c>
      <c r="O51" s="318">
        <f t="shared" ref="O51:O69" si="25">IF(AND($E$6&gt;0,$G$6&gt;0),IF($G$16=1,(1/(29.54+5.000663*($I$6*(X51))-0.007546*($I$6*(X51))^2)/1440)*W51,($G$6*(S51/$D$8)^1.06)),"-")</f>
        <v>5.8785800935780511E-3</v>
      </c>
      <c r="P51" s="319">
        <f t="shared" si="21"/>
        <v>3.6527803200140652E-3</v>
      </c>
      <c r="Q51" s="320">
        <f t="shared" ca="1" si="22"/>
        <v>5.3739354398660471E-3</v>
      </c>
      <c r="R51" s="321">
        <f t="shared" ca="1" si="23"/>
        <v>3.3392086700006099E-3</v>
      </c>
      <c r="S51" s="605">
        <v>1</v>
      </c>
      <c r="T51" s="327">
        <v>2.5694444444444445E-3</v>
      </c>
      <c r="U51" s="328">
        <v>2.9120370370370368E-3</v>
      </c>
      <c r="V51" s="591" t="s">
        <v>258</v>
      </c>
      <c r="W51" s="648">
        <f t="shared" ref="W51:W69" si="26">S51*1609.344</f>
        <v>1609.3440000000001</v>
      </c>
      <c r="X51" s="674">
        <f t="shared" si="24"/>
        <v>1.0282424646051014</v>
      </c>
      <c r="Y51" s="675">
        <f t="shared" ref="Y51:Z69" si="27">0.8+0.1894393 * EXP(-0.012778*T51*1440)+0.2989558* EXP(-0.1932605*T51*1440)</f>
        <v>1.1269287827032155</v>
      </c>
      <c r="Z51" s="674">
        <f t="shared" si="27"/>
        <v>1.1124947947660067</v>
      </c>
      <c r="AA51" s="676">
        <f t="shared" ref="AA51:AB69" si="28">(-4.6 + 0.182258 * ($W51/T51/1440) + 0.000104 *($W51/T51/1440)^2)/Y51</f>
        <v>83.723241795963048</v>
      </c>
      <c r="AB51" s="677">
        <f t="shared" si="28"/>
        <v>72.509544454813323</v>
      </c>
    </row>
    <row r="52" spans="1:28" ht="13.5" customHeight="1" thickBot="1" x14ac:dyDescent="0.25">
      <c r="B52" s="1030" t="s">
        <v>356</v>
      </c>
      <c r="C52" s="1030"/>
      <c r="D52" s="1030"/>
      <c r="E52" s="1030"/>
      <c r="F52" s="1030"/>
      <c r="G52" s="1030" t="s">
        <v>370</v>
      </c>
      <c r="H52" s="1030"/>
      <c r="I52" s="1030"/>
      <c r="J52" s="1030"/>
      <c r="K52" s="1030"/>
      <c r="L52" s="1031"/>
      <c r="M52" s="311">
        <v>0.37708333333333338</v>
      </c>
      <c r="N52" s="317" t="s">
        <v>77</v>
      </c>
      <c r="O52" s="318">
        <f t="shared" si="25"/>
        <v>7.4014433046240575E-3</v>
      </c>
      <c r="P52" s="319">
        <f t="shared" si="21"/>
        <v>3.7007216508985305E-3</v>
      </c>
      <c r="Q52" s="320">
        <f t="shared" ca="1" si="22"/>
        <v>6.7660689907635763E-3</v>
      </c>
      <c r="R52" s="321">
        <f t="shared" ca="1" si="23"/>
        <v>3.3830344940896317E-3</v>
      </c>
      <c r="S52" s="604">
        <f>2/1.609344</f>
        <v>1.2427423844746679</v>
      </c>
      <c r="T52" s="327">
        <v>3.2754629629629631E-3</v>
      </c>
      <c r="U52" s="328">
        <v>3.7268518518518514E-3</v>
      </c>
      <c r="V52" s="591" t="s">
        <v>260</v>
      </c>
      <c r="W52" s="648">
        <f t="shared" si="26"/>
        <v>2000</v>
      </c>
      <c r="X52" s="674">
        <f t="shared" si="24"/>
        <v>1.0034307368544053</v>
      </c>
      <c r="Y52" s="675">
        <f t="shared" si="27"/>
        <v>1.0985102591715143</v>
      </c>
      <c r="Z52" s="674">
        <f t="shared" si="27"/>
        <v>1.0828512181419061</v>
      </c>
      <c r="AA52" s="678">
        <f t="shared" si="28"/>
        <v>83.186971218374168</v>
      </c>
      <c r="AB52" s="679">
        <f t="shared" si="28"/>
        <v>71.816074006912757</v>
      </c>
    </row>
    <row r="53" spans="1:28" ht="13.5" customHeight="1" thickBot="1" x14ac:dyDescent="0.25">
      <c r="B53" s="1017" t="str">
        <f>"Interval Split Times In "&amp;IF(L53,"Metric","US/Imperial")&amp;" Distances (Daniels)"</f>
        <v>Interval Split Times In Metric Distances (Daniels)</v>
      </c>
      <c r="C53" s="1018"/>
      <c r="D53" s="1018"/>
      <c r="E53" s="1018"/>
      <c r="F53" s="1018"/>
      <c r="G53" s="1018"/>
      <c r="H53" s="1018"/>
      <c r="I53" s="1018"/>
      <c r="J53" s="1018"/>
      <c r="K53" s="1019"/>
      <c r="L53" s="325" t="b">
        <v>1</v>
      </c>
      <c r="M53" s="311">
        <v>0.33958333333333335</v>
      </c>
      <c r="N53" s="317" t="s">
        <v>27</v>
      </c>
      <c r="O53" s="318">
        <f t="shared" si="25"/>
        <v>1.1375569584569544E-2</v>
      </c>
      <c r="P53" s="319">
        <f t="shared" si="21"/>
        <v>3.7918565267415411E-3</v>
      </c>
      <c r="Q53" s="320">
        <f t="shared" ca="1" si="22"/>
        <v>1.0399037789067917E-2</v>
      </c>
      <c r="R53" s="321">
        <f t="shared" ca="1" si="23"/>
        <v>3.4663459283653282E-3</v>
      </c>
      <c r="S53" s="604">
        <f>3/1.609344</f>
        <v>1.8641135767120018</v>
      </c>
      <c r="T53" s="327">
        <v>5.092592592592593E-3</v>
      </c>
      <c r="U53" s="328">
        <v>5.7986111111111112E-3</v>
      </c>
      <c r="V53" s="591" t="s">
        <v>252</v>
      </c>
      <c r="W53" s="648">
        <f t="shared" si="26"/>
        <v>3000</v>
      </c>
      <c r="X53" s="674">
        <f t="shared" si="24"/>
        <v>0.96627237499937368</v>
      </c>
      <c r="Y53" s="675">
        <f t="shared" si="27"/>
        <v>1.044955409742395</v>
      </c>
      <c r="Z53" s="674">
        <f t="shared" si="27"/>
        <v>1.0298031453085916</v>
      </c>
      <c r="AA53" s="678">
        <f t="shared" si="28"/>
        <v>83.606485762214774</v>
      </c>
      <c r="AB53" s="679">
        <f t="shared" si="28"/>
        <v>72.156085574942367</v>
      </c>
    </row>
    <row r="54" spans="1:28" ht="13.5" customHeight="1" thickBot="1" x14ac:dyDescent="0.25">
      <c r="B54" s="1020" t="str">
        <f>"Pace per "&amp;IF($L$53,"/ km","/ mile")</f>
        <v>Pace per / km</v>
      </c>
      <c r="C54" s="1021"/>
      <c r="D54" s="638" t="str">
        <f>IF($L$53,"100m","110yd")</f>
        <v>100m</v>
      </c>
      <c r="E54" s="638" t="str">
        <f>IF($L$53,"200m","220yd")</f>
        <v>200m</v>
      </c>
      <c r="F54" s="638" t="str">
        <f>IF($L$53,"300m","330yd")</f>
        <v>300m</v>
      </c>
      <c r="G54" s="638" t="str">
        <f>IF($L$53,"400m","440yd")</f>
        <v>400m</v>
      </c>
      <c r="H54" s="638" t="str">
        <f>IF($L$53,"600m","660yd")</f>
        <v>600m</v>
      </c>
      <c r="I54" s="638" t="str">
        <f>IF($L$53,"800m","880yd")</f>
        <v>800m</v>
      </c>
      <c r="J54" s="638" t="str">
        <f>IF($L$53,"1000m","1100yd")</f>
        <v>1000m</v>
      </c>
      <c r="K54" s="638" t="str">
        <f>IF($L$53,"1200m","1320yd")</f>
        <v>1200m</v>
      </c>
      <c r="L54" s="326" t="str">
        <f>IF($L$53,"1600m","1 mile")</f>
        <v>1600m</v>
      </c>
      <c r="M54" s="311"/>
      <c r="N54" s="317" t="s">
        <v>78</v>
      </c>
      <c r="O54" s="318">
        <f t="shared" si="25"/>
        <v>1.2256436939834626E-2</v>
      </c>
      <c r="P54" s="319">
        <f t="shared" si="21"/>
        <v>3.8078984154889368E-3</v>
      </c>
      <c r="Q54" s="320">
        <f t="shared" ca="1" si="22"/>
        <v>1.1204287394062051E-2</v>
      </c>
      <c r="R54" s="321">
        <f t="shared" ca="1" si="23"/>
        <v>3.4810107067794554E-3</v>
      </c>
      <c r="S54" s="605">
        <v>2</v>
      </c>
      <c r="T54" s="581">
        <v>5.4861111111111117E-3</v>
      </c>
      <c r="U54" s="582">
        <v>6.2731481481481484E-3</v>
      </c>
      <c r="V54" s="591" t="s">
        <v>253</v>
      </c>
      <c r="W54" s="648">
        <f t="shared" si="26"/>
        <v>3218.6880000000001</v>
      </c>
      <c r="X54" s="674">
        <f t="shared" si="24"/>
        <v>0.96106026369990716</v>
      </c>
      <c r="Y54" s="675">
        <f t="shared" si="27"/>
        <v>1.0361944609976594</v>
      </c>
      <c r="Z54" s="674">
        <f t="shared" si="27"/>
        <v>1.0209576166884211</v>
      </c>
      <c r="AA54" s="678">
        <f t="shared" si="28"/>
        <v>83.8848240753114</v>
      </c>
      <c r="AB54" s="679">
        <f t="shared" si="28"/>
        <v>72.034775629497389</v>
      </c>
    </row>
    <row r="55" spans="1:28" ht="13.5" customHeight="1" thickBot="1" x14ac:dyDescent="0.25">
      <c r="B55" s="1022">
        <f>IF(AND($E$6&gt;0,$G$6&gt;0),(1/(29.54 + 5.000663 * ($I$6*(1.03+0.1*($I$6-30)/55)) - 0.007546 * ($I$6*(1.03+0.1*($I$6-30)/55))^2)*IF($L$53,1000,1609.344)/1440),"-")</f>
        <v>3.644773467279316E-3</v>
      </c>
      <c r="C55" s="1023"/>
      <c r="D55" s="329">
        <f>IF($R$14&lt;&gt;"-",IF($L$53,B55*0.1,B55*0.0625),"-")</f>
        <v>3.6447734672793162E-4</v>
      </c>
      <c r="E55" s="329">
        <f>IF($R$14&lt;&gt;"-",IF($L$53,B55*0.2,B55*0.125),"-")</f>
        <v>7.2895469345586324E-4</v>
      </c>
      <c r="F55" s="329">
        <f>IF($R$14&lt;&gt;"-",IF($L$53,B55*0.3,B55*0.1875),"-")</f>
        <v>1.0934320401837947E-3</v>
      </c>
      <c r="G55" s="329">
        <f>IF($R$14&lt;&gt;"-",IF($L$53,B55*0.4,B55*0.25),"-")</f>
        <v>1.4579093869117265E-3</v>
      </c>
      <c r="H55" s="329">
        <f>IF($R$14&lt;&gt;"-",IF($L$53,B55*0.6,B55*0.375),"-")</f>
        <v>2.1868640803675895E-3</v>
      </c>
      <c r="I55" s="329">
        <f>IF($R$14&lt;&gt;"-",IF($L$53,B55*0.8,B55*0.5),"-")</f>
        <v>2.9158187738234529E-3</v>
      </c>
      <c r="J55" s="329">
        <f>IF($R$14&lt;&gt;"-",IF($L$53,B55*1,B55*0.625),"-")</f>
        <v>3.644773467279316E-3</v>
      </c>
      <c r="K55" s="329">
        <f>IF($R$14&lt;&gt;"-",IF($L$53,B55*1.2,B55*0.75),"-")</f>
        <v>4.373728160735179E-3</v>
      </c>
      <c r="L55" s="330">
        <f>IF($R$14&lt;&gt;"-",IF($L$53,B55*1.6,B55*1),"-")</f>
        <v>5.8316375476469059E-3</v>
      </c>
      <c r="M55" s="311"/>
      <c r="N55" s="317" t="s">
        <v>79</v>
      </c>
      <c r="O55" s="318">
        <f t="shared" si="25"/>
        <v>1.8837400427139963E-2</v>
      </c>
      <c r="P55" s="319">
        <f t="shared" si="21"/>
        <v>3.9016726525310896E-3</v>
      </c>
      <c r="Q55" s="320">
        <f t="shared" ca="1" si="22"/>
        <v>1.7220310370686831E-2</v>
      </c>
      <c r="R55" s="321">
        <f t="shared" ca="1" si="23"/>
        <v>3.5667349272145463E-3</v>
      </c>
      <c r="S55" s="605">
        <v>3</v>
      </c>
      <c r="T55" s="364">
        <v>8.4490740740740741E-3</v>
      </c>
      <c r="U55" s="365">
        <v>9.6412037037037039E-3</v>
      </c>
      <c r="V55" s="592" t="s">
        <v>254</v>
      </c>
      <c r="W55" s="648">
        <f t="shared" si="26"/>
        <v>4828.0320000000002</v>
      </c>
      <c r="X55" s="674">
        <f t="shared" si="24"/>
        <v>0.93552918726231682</v>
      </c>
      <c r="Y55" s="675">
        <f t="shared" si="27"/>
        <v>0.99063625649949227</v>
      </c>
      <c r="Z55" s="674">
        <f t="shared" si="27"/>
        <v>0.97907865998853183</v>
      </c>
      <c r="AA55" s="678">
        <f t="shared" si="28"/>
        <v>84.896246205621992</v>
      </c>
      <c r="AB55" s="679">
        <f t="shared" si="28"/>
        <v>72.883655481978408</v>
      </c>
    </row>
    <row r="56" spans="1:28" ht="13.5" customHeight="1" x14ac:dyDescent="0.2">
      <c r="B56" s="1049">
        <f>IF(AND($E$6&gt;0,$G$6&gt;0),(1/(29.54 + 5.000663 * ($I$6*0.98) - 0.007546 * ($I$6*0.98)^2)*IF($L$53,1000,1609.344)/1440),"-")</f>
        <v>3.8071478548877954E-3</v>
      </c>
      <c r="C56" s="1050"/>
      <c r="D56" s="331">
        <f>IF($R$14&lt;&gt;"-",IF($L$53,B56*0.1,B56*0.0625),"-")</f>
        <v>3.8071478548877958E-4</v>
      </c>
      <c r="E56" s="331">
        <f>IF($R$14&lt;&gt;"-",IF($L$53,B56*0.2,B56*0.125),"-")</f>
        <v>7.6142957097755917E-4</v>
      </c>
      <c r="F56" s="331">
        <f>IF($R$14&lt;&gt;"-",IF($L$53,B56*0.3,B56*0.1875),"-")</f>
        <v>1.1421443564663385E-3</v>
      </c>
      <c r="G56" s="331">
        <f>IF($R$14&lt;&gt;"-",IF($L$53,B56*0.4,B56*0.25),"-")</f>
        <v>1.5228591419551183E-3</v>
      </c>
      <c r="H56" s="331">
        <f>IF($R$14&lt;&gt;"-",IF($L$53,B56*0.6,B56*0.375),"-")</f>
        <v>2.2842887129326771E-3</v>
      </c>
      <c r="I56" s="331">
        <f>IF($R$14&lt;&gt;"-",IF($L$53,B56*0.8,B56*0.5),"-")</f>
        <v>3.0457182839102367E-3</v>
      </c>
      <c r="J56" s="331">
        <f>IF($R$14&lt;&gt;"-",IF($L$53,B56*1,B56*0.625),"-")</f>
        <v>3.8071478548877954E-3</v>
      </c>
      <c r="K56" s="331">
        <f>IF($R$14&lt;&gt;"-",IF($L$53,B56*1.2,B56*0.75),"-")</f>
        <v>4.5685774258653541E-3</v>
      </c>
      <c r="L56" s="332">
        <f>IF($R$14&lt;&gt;"-",IF($L$53,B56*1.6,B56*1),"-")</f>
        <v>6.0914365678204734E-3</v>
      </c>
      <c r="M56" s="311"/>
      <c r="N56" s="317" t="s">
        <v>26</v>
      </c>
      <c r="O56" s="318">
        <f t="shared" si="25"/>
        <v>1.95493726840483E-2</v>
      </c>
      <c r="P56" s="319">
        <f t="shared" si="21"/>
        <v>3.9098745353162755E-3</v>
      </c>
      <c r="Q56" s="320">
        <f t="shared" ca="1" si="22"/>
        <v>1.787116361801791E-2</v>
      </c>
      <c r="R56" s="321">
        <f t="shared" ca="1" si="23"/>
        <v>3.5742327222383972E-3</v>
      </c>
      <c r="S56" s="604">
        <f>5/1.609344</f>
        <v>3.1068559611866697</v>
      </c>
      <c r="T56" s="583">
        <v>9.0162037037037034E-3</v>
      </c>
      <c r="U56" s="584">
        <v>1.0254629629629629E-2</v>
      </c>
      <c r="V56" s="590"/>
      <c r="W56" s="648">
        <f t="shared" si="26"/>
        <v>5000</v>
      </c>
      <c r="X56" s="674">
        <f t="shared" si="24"/>
        <v>0.9335016974679704</v>
      </c>
      <c r="Y56" s="675">
        <f t="shared" si="27"/>
        <v>0.98479562185948155</v>
      </c>
      <c r="Z56" s="674">
        <f t="shared" si="27"/>
        <v>0.97409123354038751</v>
      </c>
      <c r="AA56" s="678">
        <f t="shared" si="28"/>
        <v>82.264131007315953</v>
      </c>
      <c r="AB56" s="679">
        <f t="shared" si="28"/>
        <v>70.87248744547729</v>
      </c>
    </row>
    <row r="57" spans="1:28" ht="13.5" customHeight="1" thickBot="1" x14ac:dyDescent="0.25">
      <c r="B57" s="1051">
        <f>IF(AND($E$6&gt;0,$G$6&gt;0),(1/(29.54 + 5.000663 * ($I$6*0.88) - 0.007546 * ($I$6*0.88)^2)*IF($L$53,1000,1609.344)/1440),"-")</f>
        <v>4.1454284271567705E-3</v>
      </c>
      <c r="C57" s="1052"/>
      <c r="D57" s="652">
        <f>IF($R$14&lt;&gt;"-",IF($L$53,B57*0.1,B57*0.0625),"-")</f>
        <v>4.1454284271567708E-4</v>
      </c>
      <c r="E57" s="652">
        <f>IF($R$14&lt;&gt;"-",IF($L$53,B57*0.2,B57*0.125),"-")</f>
        <v>8.2908568543135417E-4</v>
      </c>
      <c r="F57" s="652">
        <f>IF($R$14&lt;&gt;"-",IF($L$53,B57*0.3,B57*0.1875),"-")</f>
        <v>1.2436285281470312E-3</v>
      </c>
      <c r="G57" s="652">
        <f>IF($R$14&lt;&gt;"-",IF($L$53,B57*0.4,B57*0.25),"-")</f>
        <v>1.6581713708627083E-3</v>
      </c>
      <c r="H57" s="652">
        <f>IF($R$14&lt;&gt;"-",IF($L$53,B57*0.6,B57*0.375),"-")</f>
        <v>2.4872570562940624E-3</v>
      </c>
      <c r="I57" s="652">
        <f>IF($R$14&lt;&gt;"-",IF($L$53,B57*0.8,B57*0.5),"-")</f>
        <v>3.3163427417254167E-3</v>
      </c>
      <c r="J57" s="652">
        <f>IF($R$14&lt;&gt;"-",IF($L$53,B57*1,B57*0.625),"-")</f>
        <v>4.1454284271567705E-3</v>
      </c>
      <c r="K57" s="652">
        <f>IF($R$14&lt;&gt;"-",IF($L$53,B57*1.2,B57*0.75),"-")</f>
        <v>4.9745141125881248E-3</v>
      </c>
      <c r="L57" s="653">
        <f>IF($R$14&lt;&gt;"-",IF($L$53,B57*1.6,B57*1),"-")</f>
        <v>6.6326854834508333E-3</v>
      </c>
      <c r="M57" s="311"/>
      <c r="N57" s="317" t="s">
        <v>80</v>
      </c>
      <c r="O57" s="318">
        <f t="shared" si="25"/>
        <v>2.555383171937186E-2</v>
      </c>
      <c r="P57" s="319">
        <f t="shared" si="21"/>
        <v>3.9696037189083759E-3</v>
      </c>
      <c r="Q57" s="320">
        <f t="shared" ca="1" si="22"/>
        <v>2.3360171965866962E-2</v>
      </c>
      <c r="R57" s="321">
        <f t="shared" ca="1" si="23"/>
        <v>3.6288344749389346E-3</v>
      </c>
      <c r="S57" s="605">
        <v>4</v>
      </c>
      <c r="T57" s="327">
        <v>1.1736111111111109E-2</v>
      </c>
      <c r="U57" s="328">
        <v>1.3414351851851851E-2</v>
      </c>
      <c r="V57" s="591"/>
      <c r="W57" s="648">
        <f t="shared" si="26"/>
        <v>6437.3760000000002</v>
      </c>
      <c r="X57" s="674">
        <f t="shared" si="24"/>
        <v>0.91862031854805559</v>
      </c>
      <c r="Y57" s="675">
        <f t="shared" si="27"/>
        <v>0.96405245155236163</v>
      </c>
      <c r="Z57" s="674">
        <f t="shared" si="27"/>
        <v>0.95515439471114272</v>
      </c>
      <c r="AA57" s="678">
        <f t="shared" si="28"/>
        <v>82.893270750842035</v>
      </c>
      <c r="AB57" s="679">
        <f t="shared" si="28"/>
        <v>70.86657246549413</v>
      </c>
    </row>
    <row r="58" spans="1:28" ht="13.5" customHeight="1" thickTop="1" x14ac:dyDescent="0.2">
      <c r="B58" s="1053">
        <f>IF($L$53, R15,R14)</f>
        <v>3.6527803200140652E-3</v>
      </c>
      <c r="C58" s="1054"/>
      <c r="D58" s="654">
        <f>IF($R$14&lt;&gt;"-",IF($L$53,R15*0.1,R14*0.0625),"-")</f>
        <v>3.6527803200140654E-4</v>
      </c>
      <c r="E58" s="654">
        <f>IF($R$14&lt;&gt;"-",IF($L$53,R15*0.2,R14*0.125),"-")</f>
        <v>7.3055606400281308E-4</v>
      </c>
      <c r="F58" s="654">
        <f>IF($R$14&lt;&gt;"-",IF($L$53,R15*0.3,R14*0.1875),"-")</f>
        <v>1.0958340960042195E-3</v>
      </c>
      <c r="G58" s="654">
        <f>IF($R$14&lt;&gt;"-",IF($L$53,R15*0.4,R14*0.25),"-")</f>
        <v>1.4611121280056262E-3</v>
      </c>
      <c r="H58" s="654">
        <f>IF($R$14&lt;&gt;"-",IF($L$53,R15*0.6,R14*0.375),"-")</f>
        <v>2.191668192008439E-3</v>
      </c>
      <c r="I58" s="654">
        <f>IF($R$14&lt;&gt;"-",IF($L$53,R15*0.8,R14*0.5),"-")</f>
        <v>2.9222242560112523E-3</v>
      </c>
      <c r="J58" s="654">
        <f>IF($R$14&lt;&gt;"-",IF($L$53,R15,R14*0.625),"-")</f>
        <v>3.6527803200140652E-3</v>
      </c>
      <c r="K58" s="654">
        <f>IF($R$14&lt;&gt;"-",IF($L$53,R15*1.2,R14*0.75),"-")</f>
        <v>4.383336384016878E-3</v>
      </c>
      <c r="L58" s="655">
        <f>IF($R$14&lt;&gt;"-",IF($L$53,R15*1.6,R14),"-")</f>
        <v>5.8444485120225046E-3</v>
      </c>
      <c r="M58" s="311"/>
      <c r="N58" s="317" t="s">
        <v>25</v>
      </c>
      <c r="O58" s="318">
        <f t="shared" si="25"/>
        <v>3.2173625888580151E-2</v>
      </c>
      <c r="P58" s="319">
        <f t="shared" si="21"/>
        <v>4.0217032345364213E-3</v>
      </c>
      <c r="Q58" s="320">
        <f t="shared" ca="1" si="22"/>
        <v>2.9411692218077119E-2</v>
      </c>
      <c r="R58" s="321">
        <f t="shared" ca="1" si="23"/>
        <v>3.6764615258554085E-3</v>
      </c>
      <c r="S58" s="604">
        <f>8/1.609344</f>
        <v>4.9709695378986716</v>
      </c>
      <c r="T58" s="327">
        <v>1.4722222222222222E-2</v>
      </c>
      <c r="U58" s="328">
        <v>1.6689814814814817E-2</v>
      </c>
      <c r="V58" s="593" t="s">
        <v>255</v>
      </c>
      <c r="W58" s="648">
        <f t="shared" si="26"/>
        <v>8000</v>
      </c>
      <c r="X58" s="674">
        <f t="shared" si="24"/>
        <v>0.90483967467077542</v>
      </c>
      <c r="Y58" s="675">
        <f t="shared" si="27"/>
        <v>0.94945368165745703</v>
      </c>
      <c r="Z58" s="674">
        <f t="shared" si="27"/>
        <v>0.94222119124623838</v>
      </c>
      <c r="AA58" s="678">
        <f t="shared" si="28"/>
        <v>83.191150933804494</v>
      </c>
      <c r="AB58" s="679">
        <f t="shared" si="28"/>
        <v>71.736795096480776</v>
      </c>
    </row>
    <row r="59" spans="1:28" ht="13.5" customHeight="1" x14ac:dyDescent="0.2">
      <c r="B59" s="1055">
        <f>IF($L$53, P15,P14)</f>
        <v>3.9098745353162755E-3</v>
      </c>
      <c r="C59" s="1056"/>
      <c r="D59" s="331">
        <f>IF($P$14&lt;&gt;"-",IF($L$53,P15*0.1,P14*0.0625),"-")</f>
        <v>3.9098745353162759E-4</v>
      </c>
      <c r="E59" s="331">
        <f>IF($P$14&lt;&gt;"-",IF($L$53,P15*0.2,P14*0.125),"-")</f>
        <v>7.8197490706325519E-4</v>
      </c>
      <c r="F59" s="331">
        <f>IF($P$14&lt;&gt;"-",IF($L$53,P15*0.3,P14*0.1875),"-")</f>
        <v>1.1729623605948826E-3</v>
      </c>
      <c r="G59" s="331">
        <f>IF($P$14&lt;&gt;"-",IF($L$53,P15*0.4,P14*0.25),"-")</f>
        <v>1.5639498141265104E-3</v>
      </c>
      <c r="H59" s="331">
        <f>IF($P$14&lt;&gt;"-",IF($L$53,P15*0.6,P14*0.375),"-")</f>
        <v>2.3459247211897651E-3</v>
      </c>
      <c r="I59" s="331">
        <f>IF($P$14&lt;&gt;"-",IF($L$53,P15*0.8,P14*0.5),"-")</f>
        <v>3.1278996282530207E-3</v>
      </c>
      <c r="J59" s="331">
        <f>IF($P$14&lt;&gt;"-",IF($L$53,P15,P14*0.625),"-")</f>
        <v>3.9098745353162755E-3</v>
      </c>
      <c r="K59" s="331">
        <f>IF($P$14&lt;&gt;"-",IF($L$53,P15*1.2,P14*0.75),"-")</f>
        <v>4.6918494423795302E-3</v>
      </c>
      <c r="L59" s="332">
        <f>IF($P$14&lt;&gt;"-",IF($L$53,P15*1.6,P14),"-")</f>
        <v>6.2557992565060415E-3</v>
      </c>
      <c r="M59" s="311"/>
      <c r="N59" s="317" t="s">
        <v>82</v>
      </c>
      <c r="O59" s="318">
        <f t="shared" si="25"/>
        <v>3.2372828332775293E-2</v>
      </c>
      <c r="P59" s="319">
        <f t="shared" si="21"/>
        <v>4.0231085859095909E-3</v>
      </c>
      <c r="Q59" s="320">
        <f t="shared" ca="1" si="22"/>
        <v>2.9593794198066754E-2</v>
      </c>
      <c r="R59" s="321">
        <f t="shared" ca="1" si="23"/>
        <v>3.6777462353310844E-3</v>
      </c>
      <c r="S59" s="605">
        <v>5</v>
      </c>
      <c r="T59" s="327">
        <v>1.480324074074074E-2</v>
      </c>
      <c r="U59" s="328">
        <v>1.6805555555555556E-2</v>
      </c>
      <c r="V59" s="591" t="s">
        <v>258</v>
      </c>
      <c r="W59" s="648">
        <f t="shared" si="26"/>
        <v>8046.72</v>
      </c>
      <c r="X59" s="674">
        <f t="shared" si="24"/>
        <v>0.90445415749136238</v>
      </c>
      <c r="Y59" s="675">
        <f t="shared" si="27"/>
        <v>0.94912767115464203</v>
      </c>
      <c r="Z59" s="674">
        <f t="shared" si="27"/>
        <v>0.94183365592937773</v>
      </c>
      <c r="AA59" s="678">
        <f t="shared" si="28"/>
        <v>83.254458075129591</v>
      </c>
      <c r="AB59" s="679">
        <f t="shared" si="28"/>
        <v>71.669684133520008</v>
      </c>
    </row>
    <row r="60" spans="1:28" ht="13.5" customHeight="1" thickBot="1" x14ac:dyDescent="0.25">
      <c r="B60" s="1057">
        <f>IF($L$53,N15,N14)</f>
        <v>4.0759103322518097E-3</v>
      </c>
      <c r="C60" s="1058"/>
      <c r="D60" s="333">
        <f>IF($N$14&lt;&gt;"-",IF($L$53,N15*0.1,N14*0.0625),"-")</f>
        <v>4.0759103322518097E-4</v>
      </c>
      <c r="E60" s="333">
        <f>IF($N$14&lt;&gt;"-",IF($L$53,N15*0.2,N14*0.125),"-")</f>
        <v>8.1518206645036194E-4</v>
      </c>
      <c r="F60" s="333">
        <f>IF($N$14&lt;&gt;"-",IF($L$53,N15*0.3,N14*0.1875),"-")</f>
        <v>1.2227730996755429E-3</v>
      </c>
      <c r="G60" s="333">
        <f>IF($N$14&lt;&gt;"-",IF($L$53,N15*0.4,N14*0.25),"-")</f>
        <v>1.6303641329007239E-3</v>
      </c>
      <c r="H60" s="333">
        <f>IF($N$14&lt;&gt;"-",IF($L$53,N15*0.6,N14*0.375),"-")</f>
        <v>2.4455461993510858E-3</v>
      </c>
      <c r="I60" s="333">
        <f>IF($N$14&lt;&gt;"-",IF($L$53,N15*0.8,N14*0.5),"-")</f>
        <v>3.2607282658014478E-3</v>
      </c>
      <c r="J60" s="333">
        <f>IF($N$14&lt;&gt;"-",IF($L$53,N15,N14*0.625),"-")</f>
        <v>4.0759103322518097E-3</v>
      </c>
      <c r="K60" s="333">
        <f>IF($N$14&lt;&gt;"-",IF($L$53,N15*1.2,N14*0.75),"-")</f>
        <v>4.8910923987021716E-3</v>
      </c>
      <c r="L60" s="334">
        <f>IF($N$14&lt;&gt;"-",IF($L$53,N15*1.6,N14),"-")</f>
        <v>6.5214565316028955E-3</v>
      </c>
      <c r="M60" s="311"/>
      <c r="N60" s="317" t="s">
        <v>24</v>
      </c>
      <c r="O60" s="318">
        <f t="shared" si="25"/>
        <v>4.0759103338086113E-2</v>
      </c>
      <c r="P60" s="319">
        <f t="shared" si="21"/>
        <v>4.0759103322518097E-3</v>
      </c>
      <c r="Q60" s="320">
        <f t="shared" ca="1" si="22"/>
        <v>3.7260152356346436E-2</v>
      </c>
      <c r="R60" s="321">
        <f t="shared" ca="1" si="23"/>
        <v>3.7260152342114849E-3</v>
      </c>
      <c r="S60" s="604">
        <f>10/1.609344</f>
        <v>6.2137119223733395</v>
      </c>
      <c r="T60" s="327">
        <v>1.8553240740740742E-2</v>
      </c>
      <c r="U60" s="328">
        <v>2.1064814814814814E-2</v>
      </c>
      <c r="V60" s="591" t="s">
        <v>260</v>
      </c>
      <c r="W60" s="648">
        <f t="shared" si="26"/>
        <v>10000</v>
      </c>
      <c r="X60" s="674">
        <f t="shared" si="24"/>
        <v>0.88949007316027007</v>
      </c>
      <c r="Y60" s="675">
        <f t="shared" si="27"/>
        <v>0.93636147475550613</v>
      </c>
      <c r="Z60" s="674">
        <f t="shared" si="27"/>
        <v>0.92941995531591082</v>
      </c>
      <c r="AA60" s="678">
        <f t="shared" si="28"/>
        <v>83.503168270942339</v>
      </c>
      <c r="AB60" s="679">
        <f t="shared" si="28"/>
        <v>71.859913588693914</v>
      </c>
    </row>
    <row r="61" spans="1:28" ht="13.5" customHeight="1" thickBot="1" x14ac:dyDescent="0.25">
      <c r="B61" s="1059" t="s">
        <v>83</v>
      </c>
      <c r="C61" s="1060"/>
      <c r="D61" s="1060"/>
      <c r="E61" s="1060"/>
      <c r="F61" s="1060"/>
      <c r="G61" s="1060"/>
      <c r="H61" s="1060"/>
      <c r="I61" s="1060"/>
      <c r="J61" s="1060"/>
      <c r="K61" s="1060"/>
      <c r="L61" s="1061"/>
      <c r="M61" s="311"/>
      <c r="N61" s="317" t="s">
        <v>23</v>
      </c>
      <c r="O61" s="318">
        <f t="shared" si="25"/>
        <v>4.9448912194571162E-2</v>
      </c>
      <c r="P61" s="319">
        <f t="shared" si="21"/>
        <v>4.1207426813070049E-3</v>
      </c>
      <c r="Q61" s="320">
        <f t="shared" ca="1" si="22"/>
        <v>4.5203987608424021E-2</v>
      </c>
      <c r="R61" s="321">
        <f t="shared" ca="1" si="23"/>
        <v>3.7669989659298558E-3</v>
      </c>
      <c r="S61" s="604">
        <f>12/1.609344</f>
        <v>7.4564543068480074</v>
      </c>
      <c r="T61" s="327">
        <v>2.2476851851851855E-2</v>
      </c>
      <c r="U61" s="328">
        <v>2.539351851851852E-2</v>
      </c>
      <c r="V61" s="593" t="s">
        <v>256</v>
      </c>
      <c r="W61" s="648">
        <f t="shared" si="26"/>
        <v>12000</v>
      </c>
      <c r="X61" s="674">
        <f t="shared" si="24"/>
        <v>0.87626369352584876</v>
      </c>
      <c r="Y61" s="675">
        <f t="shared" si="27"/>
        <v>0.92584613035566721</v>
      </c>
      <c r="Z61" s="674">
        <f t="shared" si="27"/>
        <v>0.91898114812139364</v>
      </c>
      <c r="AA61" s="678">
        <f t="shared" si="28"/>
        <v>83.456631645174227</v>
      </c>
      <c r="AB61" s="679">
        <f t="shared" si="28"/>
        <v>72.266309761498462</v>
      </c>
    </row>
    <row r="62" spans="1:28" ht="13.5" customHeight="1" thickBot="1" x14ac:dyDescent="0.25">
      <c r="B62" s="656"/>
      <c r="C62" s="656"/>
      <c r="D62" s="656"/>
      <c r="E62" s="656"/>
      <c r="F62" s="656"/>
      <c r="G62" s="656"/>
      <c r="H62" s="656"/>
      <c r="I62" s="656"/>
      <c r="J62" s="656"/>
      <c r="K62" s="656"/>
      <c r="L62" s="657"/>
      <c r="M62" s="337">
        <f>(SUM(M49:M61)/60)*M66</f>
        <v>3.6435185185185189E-2</v>
      </c>
      <c r="N62" s="317" t="s">
        <v>22</v>
      </c>
      <c r="O62" s="318">
        <f t="shared" si="25"/>
        <v>6.2644270467813873E-2</v>
      </c>
      <c r="P62" s="319">
        <f t="shared" si="21"/>
        <v>4.1762846962591178E-3</v>
      </c>
      <c r="Q62" s="320">
        <f t="shared" ca="1" si="22"/>
        <v>5.7266594962157975E-2</v>
      </c>
      <c r="R62" s="321">
        <f t="shared" ca="1" si="23"/>
        <v>3.8177729960189926E-3</v>
      </c>
      <c r="S62" s="604">
        <f>15/1.609344</f>
        <v>9.3205678835600096</v>
      </c>
      <c r="T62" s="327">
        <v>2.8414351851851847E-2</v>
      </c>
      <c r="U62" s="328">
        <v>3.1886574074074074E-2</v>
      </c>
      <c r="V62" s="593" t="s">
        <v>257</v>
      </c>
      <c r="W62" s="648">
        <f t="shared" si="26"/>
        <v>15000</v>
      </c>
      <c r="X62" s="674">
        <f t="shared" si="24"/>
        <v>0.85982323722951726</v>
      </c>
      <c r="Y62" s="675">
        <f t="shared" si="27"/>
        <v>0.91241692052851031</v>
      </c>
      <c r="Z62" s="674">
        <f t="shared" si="27"/>
        <v>0.90539789536192106</v>
      </c>
      <c r="AA62" s="678">
        <f t="shared" si="28"/>
        <v>83.506348278675873</v>
      </c>
      <c r="AB62" s="679">
        <f t="shared" si="28"/>
        <v>72.938756012249129</v>
      </c>
    </row>
    <row r="63" spans="1:28" ht="13.5" customHeight="1" thickBot="1" x14ac:dyDescent="0.25">
      <c r="B63" s="1034" t="s">
        <v>84</v>
      </c>
      <c r="C63" s="1035"/>
      <c r="D63" s="1035"/>
      <c r="E63" s="1035"/>
      <c r="F63" s="1036" t="s">
        <v>85</v>
      </c>
      <c r="G63" s="1036"/>
      <c r="H63" s="1036"/>
      <c r="I63" s="1036"/>
      <c r="J63" s="1036"/>
      <c r="K63" s="1037"/>
      <c r="L63" s="338" t="b">
        <v>1</v>
      </c>
      <c r="M63" s="339">
        <f>(SUM(M49:M61)/60)*M66</f>
        <v>3.6435185185185189E-2</v>
      </c>
      <c r="N63" s="317" t="s">
        <v>86</v>
      </c>
      <c r="O63" s="318">
        <f t="shared" si="25"/>
        <v>6.749513023701123E-2</v>
      </c>
      <c r="P63" s="319">
        <f t="shared" si="21"/>
        <v>4.1939529529566909E-3</v>
      </c>
      <c r="Q63" s="320">
        <f t="shared" ca="1" si="22"/>
        <v>6.170103436972646E-2</v>
      </c>
      <c r="R63" s="321">
        <f t="shared" ca="1" si="23"/>
        <v>3.8339245273949899E-3</v>
      </c>
      <c r="S63" s="604">
        <v>10</v>
      </c>
      <c r="T63" s="327">
        <v>3.0555555555555555E-2</v>
      </c>
      <c r="U63" s="328">
        <v>3.4270833333333334E-2</v>
      </c>
      <c r="V63" s="593" t="s">
        <v>253</v>
      </c>
      <c r="W63" s="648">
        <f t="shared" si="26"/>
        <v>16093.44</v>
      </c>
      <c r="X63" s="674">
        <f t="shared" si="24"/>
        <v>0.8547149346114975</v>
      </c>
      <c r="Y63" s="675">
        <f t="shared" si="27"/>
        <v>0.90802880889367932</v>
      </c>
      <c r="Z63" s="674">
        <f t="shared" si="27"/>
        <v>0.90085543039542837</v>
      </c>
      <c r="AA63" s="678">
        <f t="shared" si="28"/>
        <v>83.671183784319751</v>
      </c>
      <c r="AB63" s="679">
        <f t="shared" si="28"/>
        <v>73.148109904996048</v>
      </c>
    </row>
    <row r="64" spans="1:28" ht="13.5" customHeight="1" thickBot="1" x14ac:dyDescent="0.25">
      <c r="B64" s="1038" t="s">
        <v>87</v>
      </c>
      <c r="C64" s="1039"/>
      <c r="D64" s="1040"/>
      <c r="E64" s="340" t="s">
        <v>88</v>
      </c>
      <c r="F64" s="341" t="s">
        <v>89</v>
      </c>
      <c r="G64" s="341" t="s">
        <v>90</v>
      </c>
      <c r="H64" s="341" t="s">
        <v>91</v>
      </c>
      <c r="I64" s="341" t="s">
        <v>92</v>
      </c>
      <c r="J64" s="341" t="s">
        <v>93</v>
      </c>
      <c r="K64" s="341" t="s">
        <v>94</v>
      </c>
      <c r="L64" s="342" t="s">
        <v>95</v>
      </c>
      <c r="M64" s="343">
        <f>IF(COUNT(M49:M61)&gt;0,M62/M65,0)</f>
        <v>7.287037037037038E-3</v>
      </c>
      <c r="N64" s="317" t="s">
        <v>96</v>
      </c>
      <c r="O64" s="318">
        <f t="shared" si="25"/>
        <v>8.497993934507965E-2</v>
      </c>
      <c r="P64" s="319">
        <f t="shared" si="21"/>
        <v>4.2489969656310696E-3</v>
      </c>
      <c r="Q64" s="320">
        <f t="shared" ca="1" si="22"/>
        <v>7.7684866150429577E-2</v>
      </c>
      <c r="R64" s="321">
        <f t="shared" ca="1" si="23"/>
        <v>3.8842433060378846E-3</v>
      </c>
      <c r="S64" s="604">
        <f>20/1.609344</f>
        <v>12.427423844746679</v>
      </c>
      <c r="T64" s="327">
        <v>3.8368055555555551E-2</v>
      </c>
      <c r="U64" s="328">
        <v>4.282407407407407E-2</v>
      </c>
      <c r="V64" s="591" t="s">
        <v>254</v>
      </c>
      <c r="W64" s="648">
        <f t="shared" si="26"/>
        <v>20000</v>
      </c>
      <c r="X64" s="674">
        <f t="shared" si="24"/>
        <v>0.83966267540986006</v>
      </c>
      <c r="Y64" s="675">
        <f t="shared" si="27"/>
        <v>0.89351836737590107</v>
      </c>
      <c r="Z64" s="674">
        <f t="shared" si="27"/>
        <v>0.88615216897563609</v>
      </c>
      <c r="AA64" s="678">
        <f t="shared" si="28"/>
        <v>83.94191316218766</v>
      </c>
      <c r="AB64" s="679">
        <f t="shared" si="28"/>
        <v>73.858730812110522</v>
      </c>
    </row>
    <row r="65" spans="2:28" ht="13.5" customHeight="1" thickBot="1" x14ac:dyDescent="0.25">
      <c r="B65" s="1041" t="s">
        <v>97</v>
      </c>
      <c r="C65" s="1042"/>
      <c r="D65" s="1043"/>
      <c r="E65" s="344" t="str">
        <f>IF($L$63,"1.6 k","Mile")</f>
        <v>1.6 k</v>
      </c>
      <c r="F65" s="344" t="s">
        <v>98</v>
      </c>
      <c r="G65" s="344" t="s">
        <v>99</v>
      </c>
      <c r="H65" s="344" t="s">
        <v>100</v>
      </c>
      <c r="I65" s="344" t="s">
        <v>101</v>
      </c>
      <c r="J65" s="344" t="s">
        <v>102</v>
      </c>
      <c r="K65" s="344" t="s">
        <v>103</v>
      </c>
      <c r="L65" s="345" t="s">
        <v>104</v>
      </c>
      <c r="M65" s="346">
        <f>COUNT(M49:M61)*M66</f>
        <v>5</v>
      </c>
      <c r="N65" s="317" t="s">
        <v>21</v>
      </c>
      <c r="O65" s="318">
        <f t="shared" si="25"/>
        <v>8.9931011186743529E-2</v>
      </c>
      <c r="P65" s="319">
        <f t="shared" si="21"/>
        <v>4.2626382819004249E-3</v>
      </c>
      <c r="Q65" s="320">
        <f t="shared" ca="1" si="22"/>
        <v>8.2210914960125378E-2</v>
      </c>
      <c r="R65" s="321">
        <f t="shared" ca="1" si="23"/>
        <v>3.8967135882794057E-3</v>
      </c>
      <c r="S65" s="604">
        <f>K8</f>
        <v>13.109378728227153</v>
      </c>
      <c r="T65" s="327">
        <v>4.0543981481481479E-2</v>
      </c>
      <c r="U65" s="328">
        <v>4.5277777777777778E-2</v>
      </c>
      <c r="V65" s="591"/>
      <c r="W65" s="648">
        <f t="shared" si="26"/>
        <v>21097.5</v>
      </c>
      <c r="X65" s="674">
        <f t="shared" si="24"/>
        <v>0.8362090567114363</v>
      </c>
      <c r="Y65" s="675">
        <f t="shared" si="27"/>
        <v>0.88984520924202637</v>
      </c>
      <c r="Z65" s="674">
        <f t="shared" si="27"/>
        <v>0.88234809235297695</v>
      </c>
      <c r="AA65" s="678">
        <f t="shared" si="28"/>
        <v>84.106330289276514</v>
      </c>
      <c r="AB65" s="679">
        <f t="shared" si="28"/>
        <v>73.966933723571358</v>
      </c>
    </row>
    <row r="66" spans="2:28" ht="13.5" customHeight="1" thickBot="1" x14ac:dyDescent="0.25">
      <c r="B66" s="1044" t="str">
        <f>IF($L$63,"Pace / km","Pace / mile")</f>
        <v>Pace / km</v>
      </c>
      <c r="C66" s="1045"/>
      <c r="D66" s="1046"/>
      <c r="E66" s="347">
        <f>IF($L$63,$R$15,$R$14)</f>
        <v>3.6527803200140652E-3</v>
      </c>
      <c r="F66" s="348" t="str">
        <f>IF($L$63,TEXT($Q$15,"m:ss")&amp;" - "&amp;TEXT($O$15,"m:ss"),TEXT($Q$14,"m:ss")&amp;"-"&amp;TEXT($O$14,"m:ss"))</f>
        <v>5:28 - 5:47</v>
      </c>
      <c r="G66" s="348" t="str">
        <f>IF($L$63,TEXT($O$15,"m:ss")&amp;" - "&amp;TEXT($M$15,"m:ss"),TEXT($O$14,"m:ss")&amp;"-"&amp;TEXT($M$14,"m:ss"))</f>
        <v>5:47 - 5:56</v>
      </c>
      <c r="H66" s="348" t="str">
        <f>IF($L$63,TEXT($N$15,"m:ss")&amp;" - "&amp;TEXT($L$15,"m:ss"),TEXT($N$14,"m:ss")&amp;"-"&amp;TEXT($L$14,"m:ss"))</f>
        <v>5:52 - 6:01</v>
      </c>
      <c r="I66" s="348" t="str">
        <f>IF($L$63,TEXT($M$15,"m:ss")&amp;" - "&amp;TEXT($K$15,"m:ss"),TEXT($M$14,"m:ss")&amp;"-"&amp;TEXT($K$14,"m:ss"))</f>
        <v>5:56 - 6:08</v>
      </c>
      <c r="J66" s="348" t="str">
        <f>IF($L$63,TEXT($K$15,"m:ss")&amp;" - "&amp;TEXT(($J$15+$K$15)/2,"m:ss"),TEXT($K$14,"m:ss")&amp;"-"&amp;TEXT(($J$14+$K$14)/2,"m:ss"))</f>
        <v>6:08 - 6:16</v>
      </c>
      <c r="K66" s="348" t="str">
        <f>TEXT(($J$14+"0:00:30")*IF($L$63,0.621371192,1),"m:ss")&amp;" - "&amp;TEXT(($J$14+"0:01:00")*IF($L$63,0.621371192,1),"m:ss")</f>
        <v>6:43 - 7:01</v>
      </c>
      <c r="L66" s="349" t="str">
        <f>TEXT(($J$14+"0:00:30")*IF($L$63,0.621371192,1),"m:ss")&amp;" - "&amp;TEXT(($J$14+"0:01:30")*IF($L$63,0.621371192,1),"m:ss")</f>
        <v>6:43 - 7:20</v>
      </c>
      <c r="M66" s="350">
        <v>1</v>
      </c>
      <c r="N66" s="317" t="s">
        <v>105</v>
      </c>
      <c r="O66" s="318">
        <f t="shared" si="25"/>
        <v>0.1076566918949541</v>
      </c>
      <c r="P66" s="319">
        <f t="shared" si="21"/>
        <v>4.3062676741533771E-3</v>
      </c>
      <c r="Q66" s="320">
        <f t="shared" ca="1" si="22"/>
        <v>9.8414940802635215E-2</v>
      </c>
      <c r="R66" s="321">
        <f t="shared" ca="1" si="23"/>
        <v>3.9365976306018173E-3</v>
      </c>
      <c r="S66" s="604">
        <f>25/1.609344</f>
        <v>15.534279805933348</v>
      </c>
      <c r="T66" s="327">
        <v>4.8668981481481487E-2</v>
      </c>
      <c r="U66" s="328">
        <v>5.3993055555555558E-2</v>
      </c>
      <c r="V66" s="591"/>
      <c r="W66" s="648">
        <f t="shared" si="26"/>
        <v>25000</v>
      </c>
      <c r="X66" s="674">
        <f t="shared" si="24"/>
        <v>0.82613175066536426</v>
      </c>
      <c r="Y66" s="675">
        <f t="shared" si="27"/>
        <v>0.8773661147741546</v>
      </c>
      <c r="Z66" s="674">
        <f t="shared" si="27"/>
        <v>0.87014611522163554</v>
      </c>
      <c r="AA66" s="678">
        <f t="shared" si="28"/>
        <v>83.942748053237494</v>
      </c>
      <c r="AB66" s="679">
        <f t="shared" si="28"/>
        <v>74.420185745735807</v>
      </c>
    </row>
    <row r="67" spans="2:28" ht="13.5" customHeight="1" thickTop="1" thickBot="1" x14ac:dyDescent="0.25">
      <c r="B67" s="1047"/>
      <c r="C67" s="1048"/>
      <c r="D67" s="1048"/>
      <c r="E67" s="1048"/>
      <c r="F67" s="1048"/>
      <c r="G67" s="351" t="str">
        <f>IF($H$67,"Heart Rate","% HRmax")</f>
        <v>Heart Rate</v>
      </c>
      <c r="H67" s="352" t="b">
        <v>1</v>
      </c>
      <c r="I67" s="353" t="str">
        <f>IF($H$67,TEXT(0.9*$E$3,0)&amp;" - "&amp;TEXT(0.85*$E$3,0),"90 - 85%")</f>
        <v>171 - 162</v>
      </c>
      <c r="J67" s="353" t="str">
        <f>IF($H$67,TEXT(0.87*$E$3,0)&amp;" - "&amp;TEXT(0.83*$E$3,0),"87 - 83%")</f>
        <v>165 - 158</v>
      </c>
      <c r="K67" s="354" t="str">
        <f>IF($H$67,TEXT(0.75*$E$3,0),"75%")</f>
        <v>143</v>
      </c>
      <c r="L67" s="355" t="str">
        <f>IF($H$67,TEXT(0.7*$E$3,0),"70%")</f>
        <v>133</v>
      </c>
      <c r="M67" s="356" t="s">
        <v>106</v>
      </c>
      <c r="N67" s="317" t="s">
        <v>107</v>
      </c>
      <c r="O67" s="318">
        <f t="shared" si="25"/>
        <v>0.13060901415113316</v>
      </c>
      <c r="P67" s="319">
        <f t="shared" si="21"/>
        <v>4.3536338033748926E-3</v>
      </c>
      <c r="Q67" s="320">
        <f t="shared" ca="1" si="22"/>
        <v>0.11939692897601269</v>
      </c>
      <c r="R67" s="321">
        <f t="shared" ca="1" si="23"/>
        <v>3.9798976310136264E-3</v>
      </c>
      <c r="S67" s="604">
        <f>30/1.609344</f>
        <v>18.641135767120019</v>
      </c>
      <c r="T67" s="327">
        <v>5.9143518518518519E-2</v>
      </c>
      <c r="U67" s="328">
        <v>6.5509259259259267E-2</v>
      </c>
      <c r="V67" s="594"/>
      <c r="W67" s="648">
        <f t="shared" si="26"/>
        <v>30000</v>
      </c>
      <c r="X67" s="674">
        <f t="shared" si="24"/>
        <v>0.8171298233732418</v>
      </c>
      <c r="Y67" s="675">
        <f t="shared" si="27"/>
        <v>0.86380358136395219</v>
      </c>
      <c r="Z67" s="674">
        <f t="shared" si="27"/>
        <v>0.85675123322378022</v>
      </c>
      <c r="AA67" s="678">
        <f t="shared" si="28"/>
        <v>83.936711512887442</v>
      </c>
      <c r="AB67" s="679">
        <f t="shared" si="28"/>
        <v>74.560974111327553</v>
      </c>
    </row>
    <row r="68" spans="2:28" ht="13.5" customHeight="1" thickBot="1" x14ac:dyDescent="0.25">
      <c r="B68" s="1069" t="s">
        <v>108</v>
      </c>
      <c r="C68" s="1070"/>
      <c r="D68" s="1070"/>
      <c r="E68" s="1070"/>
      <c r="F68" s="1070"/>
      <c r="G68" s="1070"/>
      <c r="H68" s="1070"/>
      <c r="I68" s="1070"/>
      <c r="J68" s="1070"/>
      <c r="K68" s="1070"/>
      <c r="L68" s="1071"/>
      <c r="M68" s="357" t="s">
        <v>69</v>
      </c>
      <c r="N68" s="317" t="s">
        <v>20</v>
      </c>
      <c r="O68" s="318">
        <f t="shared" si="25"/>
        <v>0.1875</v>
      </c>
      <c r="P68" s="319">
        <f t="shared" si="21"/>
        <v>4.4436544597318169E-3</v>
      </c>
      <c r="Q68" s="320">
        <f t="shared" ca="1" si="22"/>
        <v>0.17140412802670368</v>
      </c>
      <c r="R68" s="321">
        <f t="shared" ca="1" si="23"/>
        <v>4.0621904955856275E-3</v>
      </c>
      <c r="S68" s="605">
        <f>J8</f>
        <v>26.218757456454306</v>
      </c>
      <c r="T68" s="327">
        <v>8.5381944444444455E-2</v>
      </c>
      <c r="U68" s="328">
        <v>9.4039351851851846E-2</v>
      </c>
      <c r="V68" s="591"/>
      <c r="W68" s="648">
        <f t="shared" si="26"/>
        <v>42195</v>
      </c>
      <c r="X68" s="674">
        <f t="shared" si="24"/>
        <v>0.80601351031207247</v>
      </c>
      <c r="Y68" s="675">
        <f t="shared" si="27"/>
        <v>0.83937037212683074</v>
      </c>
      <c r="Z68" s="674">
        <f t="shared" si="27"/>
        <v>0.83357274207491272</v>
      </c>
      <c r="AA68" s="678">
        <f t="shared" si="28"/>
        <v>83.631429237546513</v>
      </c>
      <c r="AB68" s="679">
        <f t="shared" si="28"/>
        <v>74.724020429459273</v>
      </c>
    </row>
    <row r="69" spans="2:28" ht="13.5" customHeight="1" thickBot="1" x14ac:dyDescent="0.25">
      <c r="B69" s="1072" t="s">
        <v>109</v>
      </c>
      <c r="C69" s="1073"/>
      <c r="D69" s="1073"/>
      <c r="E69" s="1073"/>
      <c r="F69" s="1036" t="s">
        <v>110</v>
      </c>
      <c r="G69" s="1036"/>
      <c r="H69" s="1036"/>
      <c r="I69" s="1036"/>
      <c r="J69" s="1036"/>
      <c r="K69" s="1036"/>
      <c r="L69" s="358" t="b">
        <v>1</v>
      </c>
      <c r="M69" s="359">
        <v>0.13320601851851852</v>
      </c>
      <c r="N69" s="317" t="s">
        <v>111</v>
      </c>
      <c r="O69" s="360">
        <f t="shared" si="25"/>
        <v>0.22445683045182302</v>
      </c>
      <c r="P69" s="361">
        <f t="shared" si="21"/>
        <v>4.489136607321826E-3</v>
      </c>
      <c r="Q69" s="362">
        <f t="shared" ca="1" si="22"/>
        <v>0.20518841228390608</v>
      </c>
      <c r="R69" s="363">
        <f t="shared" ca="1" si="23"/>
        <v>4.1037682441106794E-3</v>
      </c>
      <c r="S69" s="604">
        <f>50/1.609344</f>
        <v>31.068559611866696</v>
      </c>
      <c r="T69" s="364">
        <v>0.10381944444444445</v>
      </c>
      <c r="U69" s="365">
        <v>0.11365740740740742</v>
      </c>
      <c r="V69" s="595"/>
      <c r="W69" s="649">
        <f t="shared" si="26"/>
        <v>50000</v>
      </c>
      <c r="X69" s="680">
        <f t="shared" si="24"/>
        <v>0.80304649317396426</v>
      </c>
      <c r="Y69" s="681">
        <f t="shared" si="27"/>
        <v>0.82804352188881181</v>
      </c>
      <c r="Z69" s="680">
        <f t="shared" si="27"/>
        <v>0.82339999924084262</v>
      </c>
      <c r="AA69" s="682">
        <f t="shared" si="28"/>
        <v>82.107800547242761</v>
      </c>
      <c r="AB69" s="683">
        <f t="shared" si="28"/>
        <v>73.823068676968091</v>
      </c>
    </row>
    <row r="70" spans="2:28" ht="13.5" customHeight="1" thickBot="1" x14ac:dyDescent="0.25">
      <c r="B70" s="1038" t="s">
        <v>112</v>
      </c>
      <c r="C70" s="1039"/>
      <c r="D70" s="1039"/>
      <c r="E70" s="1040"/>
      <c r="F70" s="366" t="s">
        <v>113</v>
      </c>
      <c r="G70" s="366" t="s">
        <v>114</v>
      </c>
      <c r="H70" s="366" t="s">
        <v>115</v>
      </c>
      <c r="I70" s="366" t="s">
        <v>116</v>
      </c>
      <c r="J70" s="366" t="s">
        <v>117</v>
      </c>
      <c r="K70" s="366" t="s">
        <v>118</v>
      </c>
      <c r="L70" s="367" t="s">
        <v>119</v>
      </c>
      <c r="M70" s="368">
        <v>0.13295138888888888</v>
      </c>
      <c r="N70" s="1074" t="s">
        <v>120</v>
      </c>
      <c r="O70" s="1075"/>
      <c r="P70" s="369" t="b">
        <v>1</v>
      </c>
      <c r="Q70" s="1076" t="s">
        <v>121</v>
      </c>
      <c r="R70" s="1077"/>
    </row>
    <row r="71" spans="2:28" ht="13.5" customHeight="1" thickBot="1" x14ac:dyDescent="0.25">
      <c r="B71" s="1041" t="s">
        <v>122</v>
      </c>
      <c r="C71" s="1042"/>
      <c r="D71" s="1042"/>
      <c r="E71" s="1043"/>
      <c r="F71" s="370" t="str">
        <f>IF($E$3,"&lt; "&amp;TEXT(IF($D$73,$F$73,$C$73)*0.85,0),"-")</f>
        <v>&lt; 145</v>
      </c>
      <c r="G71" s="370" t="str">
        <f>IF($E$3,TEXT(IF($D$73,$F$73,$C$73)*0.85,0)&amp;" - "&amp;TEXT(IF($D$73,$F$73,$C$73)*0.89,0),"-")</f>
        <v>145 - 152</v>
      </c>
      <c r="H71" s="370" t="str">
        <f>IF($E$3,TEXT(IF($D$73,$F$73,$C$73)*0.9,0)&amp;" - "&amp;TEXT(IF($D$73,$F$73,$C$73)*0.94,0),"-")</f>
        <v>154 - 161</v>
      </c>
      <c r="I71" s="370" t="str">
        <f>IF($E$3,TEXT(IF($D$73,$F$73,$C$73)*0.95,0)&amp;" - "&amp;TEXT(IF($D$73,$F$73,$C$73)*0.99,0),"-")</f>
        <v>162 - 169</v>
      </c>
      <c r="J71" s="370" t="str">
        <f>IF($E$3,TEXT(IF($D$73,$F$73,$C$73)*1,0)&amp;" - "&amp;TEXT(IF($D$73,$F$73,$C$73)*1.02,0),"-")</f>
        <v>171 - 174</v>
      </c>
      <c r="K71" s="370" t="str">
        <f>IF($E$3,TEXT(IF($D$73,$F$73,$C$73)*1.03,0)&amp;" - "&amp;TEXT(IF($D$73,$F$73,$C$73)*1.06,0),"-")</f>
        <v>176 - 181</v>
      </c>
      <c r="L71" s="371" t="str">
        <f>IF($E$3,"&gt; "&amp;TEXT(IF($D$73,$F$73,$C$73)*1.06,0),"-")</f>
        <v>&gt; 181</v>
      </c>
      <c r="M71" s="372">
        <f>M69-M70</f>
        <v>2.5462962962963243E-4</v>
      </c>
      <c r="N71" s="586" t="s">
        <v>123</v>
      </c>
      <c r="O71" s="373" t="s">
        <v>259</v>
      </c>
      <c r="P71" s="587" t="s">
        <v>81</v>
      </c>
      <c r="Q71" s="1062" t="s">
        <v>263</v>
      </c>
      <c r="R71" s="1063"/>
    </row>
    <row r="72" spans="2:28" ht="13.5" customHeight="1" thickTop="1" thickBot="1" x14ac:dyDescent="0.25">
      <c r="B72" s="1044" t="str">
        <f>IF($L$69,"Zone Pace / km","Zone Pace / mile")</f>
        <v>Zone Pace / km</v>
      </c>
      <c r="C72" s="1045"/>
      <c r="D72" s="1045"/>
      <c r="E72" s="1046"/>
      <c r="F72" s="347" t="str">
        <f>"&lt; "&amp;TEXT(IF($J$73,$L$73/60,$I$73)*1.29*IF(L69,0.621371192,1),"m:ss")</f>
        <v>&lt; 7:42</v>
      </c>
      <c r="G72" s="347" t="str">
        <f>TEXT(IF($J$73,$L$73/60,$I$73)*1.29*IF(L69,0.621371192,1),"m:ss")&amp;" - "&amp;TEXT(IF($J$73,$L$73/60,$I$73)*1.14*IF(L69,0.621371192,1),"m:ss")</f>
        <v>7:42 - 6:48</v>
      </c>
      <c r="H72" s="347" t="str">
        <f>TEXT(IF($J$73,$L$73/60,$I$73)*1.13*IF(L69,0.621371192,1),"m:ss")&amp;" - "&amp;TEXT(IF($J$73,$L$73/60,$I$73)*1.06*IF(L69,0.621371192,1),"m:ss")</f>
        <v>6:45 - 6:20</v>
      </c>
      <c r="I72" s="347" t="str">
        <f>TEXT(IF($J$73,$L$73/60,$I$73)*1.05*IF(L69,0.621371192,1),"m:ss")&amp;" - "&amp;TEXT(IF($J$73,$L$73/60,$I$73)*0.99*IF(L69,0.621371192,1),"m:ss")</f>
        <v>6:16 - 5:55</v>
      </c>
      <c r="J72" s="347" t="str">
        <f>TEXT(IF($J$73,$L$73/60,$I$73)*1*IF(L69,0.621371192,1),"m:ss")&amp;" - "&amp;TEXT(IF($J$73,$L$73/60,$I$73)*0.97*IF(L69,0.621371192,1),"m:ss")</f>
        <v>5:58 - 5:47</v>
      </c>
      <c r="K72" s="347" t="str">
        <f>TEXT(IF($J$73,$L$73/60,$I$73)*0.96*IF(L69,0.621371192,1),"m:ss")&amp;" - "&amp;TEXT(IF($J$73,$L$73/60,$I$73)*0.9*IF(L69,0.621371192,1),"m:ss")</f>
        <v>5:44 - 5:22</v>
      </c>
      <c r="L72" s="374" t="str">
        <f>"&gt; "&amp;TEXT(IF($J$73,$L$73/60,$I$73)*0.9*IF(L69,0.621371192,1),"m:ss")</f>
        <v>&gt; 5:22</v>
      </c>
      <c r="M72" s="214"/>
      <c r="N72" s="375"/>
      <c r="O72" s="214"/>
      <c r="P72" s="214"/>
      <c r="Q72" s="214"/>
      <c r="R72" s="376" t="str">
        <f>IF(ISNA(MATCH(D8,S50:S69,0)),"No","Yes")</f>
        <v>Yes</v>
      </c>
    </row>
    <row r="73" spans="2:28" ht="13.5" customHeight="1" thickTop="1" thickBot="1" x14ac:dyDescent="0.25">
      <c r="B73" s="377" t="s">
        <v>124</v>
      </c>
      <c r="C73" s="378">
        <f>IF($E$3&lt;&gt;"",$E$3*0.9,"")</f>
        <v>171</v>
      </c>
      <c r="D73" s="1064" t="b">
        <v>0</v>
      </c>
      <c r="E73" s="1065"/>
      <c r="F73" s="379">
        <v>157</v>
      </c>
      <c r="G73" s="380"/>
      <c r="H73" s="381" t="s">
        <v>125</v>
      </c>
      <c r="I73" s="382">
        <f>+L6</f>
        <v>6.6714203666741858E-3</v>
      </c>
      <c r="J73" s="1064" t="b">
        <v>0</v>
      </c>
      <c r="K73" s="1065"/>
      <c r="L73" s="383">
        <v>0.30208333333333331</v>
      </c>
      <c r="M73" s="1066" t="s">
        <v>126</v>
      </c>
      <c r="N73" s="1067"/>
      <c r="O73" s="1068"/>
      <c r="P73" s="1066" t="str">
        <f>IF(C4,"Male","Female")&amp;" Peak Potential - "&amp;$E$6</f>
        <v>Male Peak Potential - Marathon</v>
      </c>
      <c r="Q73" s="1067"/>
      <c r="R73" s="1068"/>
    </row>
    <row r="74" spans="2:28" ht="13.5" customHeight="1" thickBot="1" x14ac:dyDescent="0.25">
      <c r="B74" s="322"/>
      <c r="M74" s="1093" t="str">
        <f ca="1">IF($C$4," Male ","Female ")&amp;IF(ISNUMBER($E$5),$E$5,"")</f>
        <v xml:space="preserve"> Male 48</v>
      </c>
      <c r="N74" s="1094"/>
      <c r="O74" s="1095">
        <f>$G$6</f>
        <v>0.1875</v>
      </c>
      <c r="P74" s="384"/>
      <c r="Q74" s="385" t="s">
        <v>127</v>
      </c>
      <c r="R74" s="386">
        <f>IF(R72="No","No Std",LOOKUP($D$8,$S$50:$S$69,IF($C$4,$T$50:$T$69,$U$50:$U$69)))</f>
        <v>8.5381944444444455E-2</v>
      </c>
    </row>
    <row r="75" spans="2:28" ht="13.5" customHeight="1" thickBot="1" x14ac:dyDescent="0.25">
      <c r="B75" s="1017" t="str">
        <f>"Projected Adverse Impact of High Temperatures on "&amp;$E$6&amp;" Time (Daniels)"</f>
        <v>Projected Adverse Impact of High Temperatures on Marathon Time (Daniels)</v>
      </c>
      <c r="C75" s="1018"/>
      <c r="D75" s="1018"/>
      <c r="E75" s="1018"/>
      <c r="F75" s="1018"/>
      <c r="G75" s="1018"/>
      <c r="H75" s="1018"/>
      <c r="I75" s="1018"/>
      <c r="J75" s="1018"/>
      <c r="K75" s="1019"/>
      <c r="L75" s="325" t="b">
        <v>0</v>
      </c>
      <c r="M75" s="1098" t="str">
        <f>IF(O74=$G$6, "Current Entry Time","Manual Time")</f>
        <v>Current Entry Time</v>
      </c>
      <c r="N75" s="1099"/>
      <c r="O75" s="1096"/>
      <c r="P75" s="387"/>
      <c r="Q75" s="388" t="str">
        <f ca="1">IF($O$84="yes","Age "&amp;DATEDIF($E$2,NOW(),"y")&amp;" Std:","")</f>
        <v>Age 48 Std:</v>
      </c>
      <c r="R75" s="389">
        <f ca="1">IF(R72="No","No Std",IF($O$84="yes",$R$74/LOOKUP(DATEDIF($E$2,NOW(),"y"),$AB$125:$AB$220,IF($C$4,$AC$125:$AC$220,$AD$125:$AD$220)),"Birthdate?"))</f>
        <v>9.4283570625794469E-2</v>
      </c>
    </row>
    <row r="76" spans="2:28" ht="13.5" customHeight="1" thickBot="1" x14ac:dyDescent="0.25">
      <c r="B76" s="1100" t="s">
        <v>128</v>
      </c>
      <c r="C76" s="1101"/>
      <c r="D76" s="390" t="str">
        <f>IF($L$75,"16° c","60° f")</f>
        <v>60° f</v>
      </c>
      <c r="E76" s="391" t="str">
        <f>IF($L$75,"18° c","65° f")</f>
        <v>65° f</v>
      </c>
      <c r="F76" s="391" t="str">
        <f>IF($L$75,"21° c","70° f")</f>
        <v>70° f</v>
      </c>
      <c r="G76" s="391" t="str">
        <f>IF($L$75,"24° c","75° f")</f>
        <v>75° f</v>
      </c>
      <c r="H76" s="391" t="str">
        <f>IF($L$75,"27° c","80° f")</f>
        <v>80° f</v>
      </c>
      <c r="I76" s="391" t="str">
        <f>IF($L$75,"29° c","85° f")</f>
        <v>85° f</v>
      </c>
      <c r="J76" s="391" t="str">
        <f>IF($L$75,"32° c","90° f")</f>
        <v>90° f</v>
      </c>
      <c r="K76" s="391" t="str">
        <f>IF($L$75,"35° c","95° f")</f>
        <v>95° f</v>
      </c>
      <c r="L76" s="392" t="str">
        <f>IF($L$75,"38° c","100° f")</f>
        <v>100° f</v>
      </c>
      <c r="M76" s="1098"/>
      <c r="N76" s="1099"/>
      <c r="O76" s="1097"/>
      <c r="P76" s="1078" t="s">
        <v>129</v>
      </c>
      <c r="Q76" s="1079"/>
      <c r="R76" s="393">
        <f ca="1">IF($O$84="Yes",$E$5,"Birthdate?")</f>
        <v>48</v>
      </c>
    </row>
    <row r="77" spans="2:28" ht="13.5" customHeight="1" x14ac:dyDescent="0.2">
      <c r="B77" s="1080" t="s">
        <v>130</v>
      </c>
      <c r="C77" s="1081"/>
      <c r="D77" s="394">
        <f>IF(AND($E$6&gt;0,$G$6&gt;0),G6,"-")</f>
        <v>0.1875</v>
      </c>
      <c r="E77" s="395">
        <f>IF($D$77&lt;&gt;"-",$D$77*1.0075,"-")</f>
        <v>0.18890625</v>
      </c>
      <c r="F77" s="395">
        <f>IF($D$77&lt;&gt;"-",$D$77*1.015,"-")</f>
        <v>0.1903125</v>
      </c>
      <c r="G77" s="395">
        <f>IF($D$77&lt;&gt;"-",$D$77*1.0225,"-")</f>
        <v>0.19171874999999999</v>
      </c>
      <c r="H77" s="395">
        <f>IF($D$77&lt;&gt;"-",$D$77*1.03,"-")</f>
        <v>0.19312499999999999</v>
      </c>
      <c r="I77" s="395">
        <f>IF($D$77&lt;&gt;"-",$D$77*1.0375,"-")</f>
        <v>0.19453125000000002</v>
      </c>
      <c r="J77" s="395">
        <f>IF($D$77&lt;&gt;"-",$D$77*1.045,"-")</f>
        <v>0.19593749999999999</v>
      </c>
      <c r="K77" s="395">
        <f>IF($D$77&lt;&gt;"-",$D$77*1.0525,"-")</f>
        <v>0.19734374999999998</v>
      </c>
      <c r="L77" s="396">
        <f>IF($D$77&lt;&gt;"-",$D$77*1.06,"-")</f>
        <v>0.19875000000000001</v>
      </c>
      <c r="M77" s="1082" t="s">
        <v>131</v>
      </c>
      <c r="N77" s="1083"/>
      <c r="O77" s="1084"/>
      <c r="P77" s="1078" t="s">
        <v>132</v>
      </c>
      <c r="Q77" s="1085"/>
      <c r="R77" s="717">
        <f>IF(AND($C$2&gt;0,$C$3&gt;0),IF($B$4,$C$3 / ($C$2/100)^2,$C$3 / $C$2^2*703),"Wght / Hght?")</f>
        <v>20.173324150596876</v>
      </c>
    </row>
    <row r="78" spans="2:28" ht="13.5" customHeight="1" thickBot="1" x14ac:dyDescent="0.25">
      <c r="B78" s="1086" t="str">
        <f>IF($L$75,"Adj Pace / km","Adj Pace / mile")</f>
        <v>Adj Pace / mile</v>
      </c>
      <c r="C78" s="1087"/>
      <c r="D78" s="397">
        <f t="shared" ref="D78:L78" si="29">IF($D$77&lt;&gt;"-",D77/IF($L$75,$F$8/1000,$D$8),"-")</f>
        <v>7.1513686455741202E-3</v>
      </c>
      <c r="E78" s="398">
        <f t="shared" si="29"/>
        <v>7.2050039104159264E-3</v>
      </c>
      <c r="F78" s="398">
        <f t="shared" si="29"/>
        <v>7.2586391752577318E-3</v>
      </c>
      <c r="G78" s="398">
        <f t="shared" si="29"/>
        <v>7.3122744400995381E-3</v>
      </c>
      <c r="H78" s="398">
        <f t="shared" si="29"/>
        <v>7.3659097049413435E-3</v>
      </c>
      <c r="I78" s="398">
        <f t="shared" si="29"/>
        <v>7.4195449697831506E-3</v>
      </c>
      <c r="J78" s="398">
        <f t="shared" si="29"/>
        <v>7.4731802346249552E-3</v>
      </c>
      <c r="K78" s="398">
        <f t="shared" si="29"/>
        <v>7.5268154994667614E-3</v>
      </c>
      <c r="L78" s="399">
        <f t="shared" si="29"/>
        <v>7.5804507643085686E-3</v>
      </c>
      <c r="M78" s="1088" t="s">
        <v>133</v>
      </c>
      <c r="N78" s="1089"/>
      <c r="O78" s="1090"/>
      <c r="P78" s="1091" t="str">
        <f>"current age, wght "&amp;ROUND($C$3,1)</f>
        <v>current age, wght 125</v>
      </c>
      <c r="Q78" s="1092"/>
      <c r="R78" s="400">
        <f ca="1">IF(R72="no","-",IF(AND($C$2&gt;0,$C$3&gt;0,$O$84="yes"),MROUND(MAX($R$75*(C3/MIN(D92,F94))^$I$87,$R$75),"00:00:01"),"""?"))</f>
        <v>0.10131944444444443</v>
      </c>
    </row>
    <row r="79" spans="2:28" ht="13.5" customHeight="1" thickBot="1" x14ac:dyDescent="0.25">
      <c r="B79" s="1114" t="str">
        <f>"Performance is not adversely affected by heat below "&amp;IF(L75,"16°C","60°F")</f>
        <v>Performance is not adversely affected by heat below 60°F</v>
      </c>
      <c r="C79" s="1115"/>
      <c r="D79" s="1115"/>
      <c r="E79" s="1115"/>
      <c r="F79" s="1115"/>
      <c r="G79" s="1115"/>
      <c r="H79" s="1115"/>
      <c r="I79" s="1115"/>
      <c r="J79" s="1115"/>
      <c r="K79" s="1115"/>
      <c r="L79" s="1116"/>
      <c r="M79" s="401"/>
      <c r="N79" s="402"/>
      <c r="O79" s="403"/>
      <c r="P79" s="1082" t="s">
        <v>134</v>
      </c>
      <c r="Q79" s="1083"/>
      <c r="R79" s="714">
        <f>IF(AND($C$2&gt;0,$P$80&gt;0),IF($B$4,$P$80 / ($C$2/100)^2,$P$80 / $C$2^2*703),"")</f>
        <v>20.308888888888891</v>
      </c>
    </row>
    <row r="80" spans="2:28" ht="13.5" customHeight="1" thickBot="1" x14ac:dyDescent="0.25">
      <c r="B80" s="335"/>
      <c r="C80" s="214"/>
      <c r="D80" s="214"/>
      <c r="E80" s="214"/>
      <c r="F80" s="214"/>
      <c r="G80" s="214"/>
      <c r="I80" s="214"/>
      <c r="J80" s="214"/>
      <c r="L80" s="336"/>
      <c r="M80" s="401"/>
      <c r="N80" s="402"/>
      <c r="O80" s="403"/>
      <c r="P80" s="697">
        <f>IF($C$4,I95,I96)</f>
        <v>125.84</v>
      </c>
      <c r="Q80" s="404" t="str">
        <f>IF($B$4," kg"," lbs")</f>
        <v xml:space="preserve"> lbs</v>
      </c>
      <c r="R80" s="405">
        <f ca="1">IF(R72="no","-",IF(AND($C$3&gt;0,$P$80&gt;0,$O$84="yes"),$R$78*(IF(P80&gt;=MIN(D92,F94,C3),P80,MIN(F94,D92,C3))/C3)^$I$87,"?"))</f>
        <v>0.10188424182452772</v>
      </c>
    </row>
    <row r="81" spans="2:20" ht="13.5" customHeight="1" thickTop="1" thickBot="1" x14ac:dyDescent="0.25">
      <c r="B81" s="1117" t="str">
        <f>"Projected Impact of Weight on "&amp;$E$6&amp;" Time (Daniels)"</f>
        <v>Projected Impact of Weight on Marathon Time (Daniels)</v>
      </c>
      <c r="C81" s="1118"/>
      <c r="D81" s="1118"/>
      <c r="E81" s="1118"/>
      <c r="F81" s="1118"/>
      <c r="G81" s="1118"/>
      <c r="H81" s="1118"/>
      <c r="I81" s="1118"/>
      <c r="J81" s="1118"/>
      <c r="K81" s="1118"/>
      <c r="L81" s="1119"/>
      <c r="M81" s="1120" t="s">
        <v>135</v>
      </c>
      <c r="N81" s="1121"/>
      <c r="O81" s="1122"/>
      <c r="P81" s="715"/>
      <c r="R81" s="406"/>
      <c r="T81" s="732"/>
    </row>
    <row r="82" spans="2:20" ht="13.5" customHeight="1" thickTop="1" thickBot="1" x14ac:dyDescent="0.25">
      <c r="B82" s="1123" t="str">
        <f>IF($C$4,"Male","Female")</f>
        <v>Male</v>
      </c>
      <c r="C82" s="1124"/>
      <c r="D82" s="700" t="s">
        <v>136</v>
      </c>
      <c r="E82" s="407">
        <f ca="1">$E$5</f>
        <v>48</v>
      </c>
      <c r="F82" s="1125" t="str">
        <f>IF($B$4,"Height (cm):","Height (in):")</f>
        <v>Height (in):</v>
      </c>
      <c r="G82" s="1126" t="str">
        <f>IF($B$4,"Height (cm):","Height (in):")</f>
        <v>Height (in):</v>
      </c>
      <c r="H82" s="408">
        <f>$C$2</f>
        <v>66</v>
      </c>
      <c r="I82" s="1127" t="str">
        <f>"Weight"&amp;IF($B$4," (kg):"," (lb):")</f>
        <v>Weight (lb):</v>
      </c>
      <c r="J82" s="1128" t="str">
        <f>"Weight"&amp;IF($B$4," (kg):"," (lb):")</f>
        <v>Weight (lb):</v>
      </c>
      <c r="K82" s="408">
        <f>$C$3</f>
        <v>125</v>
      </c>
      <c r="L82" s="409" t="b">
        <v>0</v>
      </c>
      <c r="M82" s="1129" t="s">
        <v>137</v>
      </c>
      <c r="N82" s="1130"/>
      <c r="O82" s="410">
        <f ca="1">IF($O$84="yes",$O$74-$O$83,0)</f>
        <v>1.770250000000001E-2</v>
      </c>
      <c r="P82" s="1066" t="s">
        <v>138</v>
      </c>
      <c r="Q82" s="1067"/>
      <c r="R82" s="1068"/>
      <c r="T82" s="728"/>
    </row>
    <row r="83" spans="2:20" ht="13.5" customHeight="1" thickTop="1" thickBot="1" x14ac:dyDescent="0.25">
      <c r="B83" s="1102" t="str">
        <f>"Projected Weight "&amp;IF(B4,"(kg)","(lb)")</f>
        <v>Projected Weight (lb)</v>
      </c>
      <c r="C83" s="1103"/>
      <c r="D83" s="729">
        <f>$C$3+($C$3*$L$87*2)</f>
        <v>136.25</v>
      </c>
      <c r="E83" s="730">
        <f>$C$3+($C$3*$L$87*1)</f>
        <v>130.625</v>
      </c>
      <c r="F83" s="733">
        <f>$C$3-($C$3*$L$87*0)</f>
        <v>125</v>
      </c>
      <c r="G83" s="731">
        <f>$C$3-($C$3*$L$87*1)</f>
        <v>119.375</v>
      </c>
      <c r="H83" s="729">
        <f>$C$3-($C$3*$L$87*2)</f>
        <v>113.75</v>
      </c>
      <c r="I83" s="729">
        <f>$C$3-($C$3*$L$87*3)</f>
        <v>108.125</v>
      </c>
      <c r="J83" s="729">
        <f>$C$3-($C$3*$L$87*4)</f>
        <v>102.5</v>
      </c>
      <c r="K83" s="729">
        <f>$C$3-($C$3*$L$87*5)</f>
        <v>96.875</v>
      </c>
      <c r="L83" s="729">
        <f>$C$3-($C$3*$L$87*6)</f>
        <v>91.25</v>
      </c>
      <c r="M83" s="1104" t="str">
        <f>IF(M100,"Open Class Equivalent","No Age Grading")</f>
        <v>Open Class Equivalent</v>
      </c>
      <c r="N83" s="1105"/>
      <c r="O83" s="411">
        <f ca="1">IF(AND($O$84="yes",$M$100),($O$74*LOOKUP($E$5,$AB$125:$AB$220,IF($C$4,$AC$125:$AC$220,$AD$125:$AD$220))/LOOKUP(25,$AB$125:$AB$220,IF($Q$49,$AC$125:$AC$220,$AD$125:$AD$220))),O74)</f>
        <v>0.16979749999999999</v>
      </c>
      <c r="P83" s="412" t="str">
        <f>IF(R85,"Kilometers","Miles")</f>
        <v>Miles</v>
      </c>
      <c r="Q83" s="413" t="s">
        <v>52</v>
      </c>
      <c r="R83" s="414" t="s">
        <v>139</v>
      </c>
    </row>
    <row r="84" spans="2:20" ht="13.5" customHeight="1" thickBot="1" x14ac:dyDescent="0.25">
      <c r="B84" s="1106" t="s">
        <v>140</v>
      </c>
      <c r="C84" s="1107"/>
      <c r="D84" s="415">
        <f t="shared" ref="D84:L84" si="30">IF(AND(D83&gt;0,$I$6&lt;&gt;"-"),$C$3*$I$6/D83,"-")</f>
        <v>30.075349652178698</v>
      </c>
      <c r="E84" s="708">
        <f t="shared" si="30"/>
        <v>31.370460402750986</v>
      </c>
      <c r="F84" s="704">
        <f t="shared" si="30"/>
        <v>32.78213112087478</v>
      </c>
      <c r="G84" s="707">
        <f t="shared" si="30"/>
        <v>34.326838870025945</v>
      </c>
      <c r="H84" s="415">
        <f t="shared" si="30"/>
        <v>36.024319913049212</v>
      </c>
      <c r="I84" s="415">
        <f t="shared" si="30"/>
        <v>37.89841748078009</v>
      </c>
      <c r="J84" s="415">
        <f t="shared" si="30"/>
        <v>39.978208683993635</v>
      </c>
      <c r="K84" s="415">
        <f t="shared" si="30"/>
        <v>42.299524026935202</v>
      </c>
      <c r="L84" s="416">
        <f t="shared" si="30"/>
        <v>44.907028932705174</v>
      </c>
      <c r="M84" s="1108" t="s">
        <v>141</v>
      </c>
      <c r="N84" s="1109"/>
      <c r="O84" s="417" t="str">
        <f ca="1">IF(AND(DATEDIF($E$2,NOW(),"y")&gt;=5,DATEDIF($E$2,NOW(),"y")&lt;=100),"Yes","No")</f>
        <v>Yes</v>
      </c>
      <c r="P84" s="418">
        <v>5</v>
      </c>
      <c r="Q84" s="419">
        <v>1.4212962962962962E-2</v>
      </c>
      <c r="R84" s="420">
        <f>0.8+0.1894393 * EXP(-0.012778*Q84*1440)+0.2989558* EXP(-0.1932605*Q84*1440)</f>
        <v>0.95157048613053818</v>
      </c>
    </row>
    <row r="85" spans="2:20" ht="13.5" customHeight="1" thickBot="1" x14ac:dyDescent="0.25">
      <c r="B85" s="1110" t="s">
        <v>142</v>
      </c>
      <c r="C85" s="1111"/>
      <c r="D85" s="421">
        <f>IF(D84&lt;&gt;"-",$G$6*($I$6/D84)^$I$87,"-")</f>
        <v>0.20140268931337907</v>
      </c>
      <c r="E85" s="422">
        <f t="shared" ref="E85:L85" si="31">IF(E84&lt;&gt;"-",$G$6*($I$6/E84)^$I$87,"-")</f>
        <v>0.19447679699883252</v>
      </c>
      <c r="F85" s="705">
        <f t="shared" si="31"/>
        <v>0.1875</v>
      </c>
      <c r="G85" s="709">
        <f t="shared" si="31"/>
        <v>0.18046960612124235</v>
      </c>
      <c r="H85" s="421">
        <f t="shared" si="31"/>
        <v>0.17338264649405083</v>
      </c>
      <c r="I85" s="421">
        <f t="shared" si="31"/>
        <v>0.16623583195959471</v>
      </c>
      <c r="J85" s="421">
        <f t="shared" si="31"/>
        <v>0.1590254999284435</v>
      </c>
      <c r="K85" s="421">
        <f t="shared" si="31"/>
        <v>0.15174754899612652</v>
      </c>
      <c r="L85" s="422">
        <f t="shared" si="31"/>
        <v>0.14439735761028044</v>
      </c>
      <c r="M85" s="423"/>
      <c r="N85" s="424"/>
      <c r="O85" s="425"/>
      <c r="P85" s="1112">
        <f>ROUND((-4.6 + 0.182258 * ((P84*IF(R85,1000,1))/Q84/1440*(IF(R85,1,1609.344))) + 0.000104 *((P84*IF(R85,1000,1))/Q84/1440*(IF(R85,1,1609.344)))^2)/R84,1)</f>
        <v>87.4</v>
      </c>
      <c r="Q85" s="1113"/>
      <c r="R85" s="426" t="b">
        <v>0</v>
      </c>
    </row>
    <row r="86" spans="2:20" ht="13.5" customHeight="1" thickTop="1" thickBot="1" x14ac:dyDescent="0.25">
      <c r="B86" s="1134" t="str">
        <f>IF($L$82,"Est Pace / km","Est Pace / mile")</f>
        <v>Est Pace / mile</v>
      </c>
      <c r="C86" s="1135"/>
      <c r="D86" s="427">
        <f t="shared" ref="D86:L86" si="32">IF(D85&lt;&gt;"-",D85/IF($L$82,$F$8/1000,$D$8),"-")</f>
        <v>7.6816260132800268E-3</v>
      </c>
      <c r="E86" s="428">
        <f t="shared" si="32"/>
        <v>7.4174680978620483E-3</v>
      </c>
      <c r="F86" s="706">
        <f t="shared" si="32"/>
        <v>7.1513686455741202E-3</v>
      </c>
      <c r="G86" s="710">
        <f t="shared" si="32"/>
        <v>6.8832249743710078E-3</v>
      </c>
      <c r="H86" s="427">
        <f t="shared" si="32"/>
        <v>6.6129238497291565E-3</v>
      </c>
      <c r="I86" s="427">
        <f t="shared" si="32"/>
        <v>6.3403398210494606E-3</v>
      </c>
      <c r="J86" s="427">
        <f t="shared" si="32"/>
        <v>6.0653331948534424E-3</v>
      </c>
      <c r="K86" s="427">
        <f t="shared" si="32"/>
        <v>5.7877475409793162E-3</v>
      </c>
      <c r="L86" s="428">
        <f t="shared" si="32"/>
        <v>5.5074065904955364E-3</v>
      </c>
      <c r="M86" s="1120" t="s">
        <v>436</v>
      </c>
      <c r="N86" s="1121"/>
      <c r="O86" s="1122"/>
      <c r="P86" s="1136" t="s">
        <v>143</v>
      </c>
      <c r="Q86" s="1137"/>
      <c r="R86" s="1138"/>
    </row>
    <row r="87" spans="2:20" ht="13.5" customHeight="1" thickTop="1" thickBot="1" x14ac:dyDescent="0.25">
      <c r="B87" s="1114" t="s">
        <v>144</v>
      </c>
      <c r="C87" s="1115"/>
      <c r="D87" s="1115"/>
      <c r="E87" s="1115"/>
      <c r="F87" s="1147"/>
      <c r="G87" s="1148"/>
      <c r="H87" s="703" t="s">
        <v>382</v>
      </c>
      <c r="I87" s="661">
        <v>0.83</v>
      </c>
      <c r="J87" s="1139" t="s">
        <v>145</v>
      </c>
      <c r="K87" s="1139"/>
      <c r="L87" s="429">
        <v>4.4999999999999998E-2</v>
      </c>
      <c r="M87" s="1140">
        <f>IF($C$3&gt;0,$C$3,"Current Weight?")</f>
        <v>125</v>
      </c>
      <c r="N87" s="1141"/>
      <c r="O87" s="1142">
        <f ca="1">IF(AND($N$88&gt;0,$N$89&gt;0,$N$89&lt;&gt;"",$M$101),ABS($O$83-$O$90),0)</f>
        <v>9.4652298648634225E-4</v>
      </c>
      <c r="P87" s="1067" t="s">
        <v>146</v>
      </c>
      <c r="Q87" s="1067"/>
      <c r="R87" s="1068"/>
    </row>
    <row r="88" spans="2:20" ht="13.5" customHeight="1" thickBot="1" x14ac:dyDescent="0.25">
      <c r="B88" s="322"/>
      <c r="C88" s="1149" t="s">
        <v>422</v>
      </c>
      <c r="D88" s="1149"/>
      <c r="E88" s="1149"/>
      <c r="F88" s="1149"/>
      <c r="G88" s="1149"/>
      <c r="H88" s="1149"/>
      <c r="I88" s="1149"/>
      <c r="J88" s="1149"/>
      <c r="K88" s="1149"/>
      <c r="L88" s="431"/>
      <c r="M88" s="699" t="s">
        <v>147</v>
      </c>
      <c r="N88" s="696">
        <f>IF($C$4,I95,I96)</f>
        <v>125.84</v>
      </c>
      <c r="O88" s="1143"/>
      <c r="P88" s="432" t="s">
        <v>148</v>
      </c>
      <c r="Q88" s="413" t="s">
        <v>52</v>
      </c>
      <c r="R88" s="433" t="s">
        <v>54</v>
      </c>
    </row>
    <row r="89" spans="2:20" ht="13.5" customHeight="1" thickBot="1" x14ac:dyDescent="0.25">
      <c r="B89" s="1017" t="s">
        <v>149</v>
      </c>
      <c r="C89" s="1018"/>
      <c r="D89" s="1018"/>
      <c r="E89" s="1018"/>
      <c r="F89" s="1018"/>
      <c r="G89" s="701" t="str">
        <f>IF($C$4,"Male","Female")</f>
        <v>Male</v>
      </c>
      <c r="H89" s="702" t="str">
        <f ca="1">IF(ISNUMBER($E$5),"Age  "&amp;$E$5,"Birthdate?")</f>
        <v>Age  48</v>
      </c>
      <c r="I89" s="702" t="str">
        <f>"Hgt  "&amp;$C$2</f>
        <v>Hgt  66</v>
      </c>
      <c r="J89" s="434" t="str">
        <f>"Wgt  "&amp;$C$3</f>
        <v>Wgt  125</v>
      </c>
      <c r="K89" s="1145" t="str">
        <f>IF(AND(C2&gt;0,C3&gt;0),"Current BMI = " &amp;ROUND(IF($B$4,$C$3 / ($C$2/100)^2,$C$3 / $C$2^2*703),2),"Wght / Hght?")</f>
        <v>Current BMI = 20.17</v>
      </c>
      <c r="L89" s="1146"/>
      <c r="M89" s="713">
        <f>IF(AND($C$2&gt;0,$N$88&gt;0),IF($B$4,$N$88 / ($C$2/100)^2,$N$88 / $C$2^2*703),"")</f>
        <v>20.308888888888891</v>
      </c>
      <c r="N89" s="435">
        <f>IF(AND($C$2&gt;0,$N$88&gt;0),$C$3*$I$6/IF(N88&gt;=MIN(D92,F94),$N$88,MIN(F94,D92)),"")</f>
        <v>32.563305706526918</v>
      </c>
      <c r="O89" s="1144"/>
      <c r="P89" s="418">
        <v>1.2</v>
      </c>
      <c r="Q89" s="419">
        <v>1.0983796296296297E-2</v>
      </c>
      <c r="R89" s="436">
        <f>Q89/P89</f>
        <v>9.1531635802469154E-3</v>
      </c>
      <c r="T89" s="728"/>
    </row>
    <row r="90" spans="2:20" ht="13.5" customHeight="1" thickBot="1" x14ac:dyDescent="0.25">
      <c r="B90" s="437" t="s">
        <v>150</v>
      </c>
      <c r="C90" s="438" t="s">
        <v>151</v>
      </c>
      <c r="D90" s="439">
        <v>18.5</v>
      </c>
      <c r="E90" s="439">
        <v>19</v>
      </c>
      <c r="F90" s="439">
        <v>20</v>
      </c>
      <c r="G90" s="439">
        <v>21</v>
      </c>
      <c r="H90" s="439">
        <v>22</v>
      </c>
      <c r="I90" s="439">
        <v>23</v>
      </c>
      <c r="J90" s="439">
        <v>24</v>
      </c>
      <c r="K90" s="439">
        <v>25</v>
      </c>
      <c r="L90" s="440" t="s">
        <v>152</v>
      </c>
      <c r="M90" s="1164" t="str">
        <f>IF(M101,"Weight Adjusted Time","No Weight Grading")</f>
        <v>Weight Adjusted Time</v>
      </c>
      <c r="N90" s="1165"/>
      <c r="O90" s="441">
        <f ca="1">IF(AND($N$88&gt;0,$N$89&gt;0,$N$89&lt;&gt;"",$M$101),$O$83*(IF(N88&gt;=MIN(D92,F94,C3),$N$88,MIN(F94,D92,C3))/C3)^$I$87,O83)</f>
        <v>0.17074402298648633</v>
      </c>
      <c r="P90" s="432" t="s">
        <v>153</v>
      </c>
      <c r="Q90" s="413" t="s">
        <v>52</v>
      </c>
      <c r="R90" s="433" t="s">
        <v>54</v>
      </c>
    </row>
    <row r="91" spans="2:20" ht="13.5" customHeight="1" thickBot="1" x14ac:dyDescent="0.25">
      <c r="B91" s="442" t="str">
        <f>"for "&amp;IF($B$4,ROUND($C$2,0)&amp;" cm",INT($C$2/12)&amp;" ft "&amp;ROUND((($C$2/12)-INT($C$2/12))*12,1)&amp;" in")</f>
        <v>for 5 ft 6 in</v>
      </c>
      <c r="C91" s="443" t="s">
        <v>154</v>
      </c>
      <c r="D91" s="637" t="str">
        <f t="shared" ref="D91:K91" si="33">IF($B$4,ROUND(D90*($C$2/100)^2,1)&amp;" kg",ROUND(D90/703*$C$2^2,0)&amp;" lb")</f>
        <v>115 lb</v>
      </c>
      <c r="E91" s="637" t="str">
        <f t="shared" si="33"/>
        <v>118 lb</v>
      </c>
      <c r="F91" s="637" t="str">
        <f t="shared" si="33"/>
        <v>124 lb</v>
      </c>
      <c r="G91" s="637" t="str">
        <f t="shared" si="33"/>
        <v>130 lb</v>
      </c>
      <c r="H91" s="637" t="str">
        <f t="shared" si="33"/>
        <v>136 lb</v>
      </c>
      <c r="I91" s="637" t="str">
        <f t="shared" si="33"/>
        <v>143 lb</v>
      </c>
      <c r="J91" s="637" t="str">
        <f t="shared" si="33"/>
        <v>149 lb</v>
      </c>
      <c r="K91" s="637" t="str">
        <f t="shared" si="33"/>
        <v>155 lb</v>
      </c>
      <c r="L91" s="444" t="s">
        <v>155</v>
      </c>
      <c r="M91" s="691"/>
      <c r="N91" s="692"/>
      <c r="O91" s="693"/>
      <c r="P91" s="445">
        <v>10</v>
      </c>
      <c r="Q91" s="446">
        <v>3.0659722222222224E-2</v>
      </c>
      <c r="R91" s="447">
        <f>Q91/P91</f>
        <v>3.0659722222222225E-3</v>
      </c>
    </row>
    <row r="92" spans="2:20" ht="13.5" customHeight="1" thickTop="1" thickBot="1" x14ac:dyDescent="0.25">
      <c r="B92" s="322"/>
      <c r="D92" s="727">
        <f>IF($B$4,D90*($C$2/100)^2,D90/703.07*$C$2^2)</f>
        <v>114.6201658440838</v>
      </c>
      <c r="E92" s="727">
        <f t="shared" ref="E92:K92" si="34">IF($B$4,E90*($C$2/100)^2,E90/703.07*$C$2^2)</f>
        <v>117.71800816419417</v>
      </c>
      <c r="F92" s="727">
        <f t="shared" si="34"/>
        <v>123.91369280441492</v>
      </c>
      <c r="G92" s="727">
        <f t="shared" si="34"/>
        <v>130.10937744463567</v>
      </c>
      <c r="H92" s="727">
        <f t="shared" si="34"/>
        <v>136.30506208485642</v>
      </c>
      <c r="I92" s="727">
        <f t="shared" si="34"/>
        <v>142.50074672507716</v>
      </c>
      <c r="J92" s="727">
        <f t="shared" si="34"/>
        <v>148.69643136529788</v>
      </c>
      <c r="K92" s="727">
        <f t="shared" si="34"/>
        <v>154.89211600551863</v>
      </c>
      <c r="M92" s="735"/>
      <c r="N92" s="1152" t="s">
        <v>437</v>
      </c>
      <c r="O92" s="1153"/>
      <c r="P92" s="1066" t="s">
        <v>156</v>
      </c>
      <c r="Q92" s="1067"/>
      <c r="R92" s="1068"/>
    </row>
    <row r="93" spans="2:20" ht="13.5" customHeight="1" thickTop="1" thickBot="1" x14ac:dyDescent="0.25">
      <c r="B93" s="1150" t="s">
        <v>157</v>
      </c>
      <c r="C93" s="1151"/>
      <c r="D93" s="1151"/>
      <c r="E93" s="1151"/>
      <c r="F93" s="711"/>
      <c r="G93" s="1131" t="s">
        <v>158</v>
      </c>
      <c r="H93" s="1075"/>
      <c r="I93" s="1132" t="s">
        <v>159</v>
      </c>
      <c r="J93" s="1075"/>
      <c r="K93" s="1132" t="s">
        <v>160</v>
      </c>
      <c r="L93" s="1133"/>
      <c r="M93" s="1120" t="s">
        <v>128</v>
      </c>
      <c r="N93" s="1121"/>
      <c r="O93" s="1122"/>
      <c r="P93" s="432" t="s">
        <v>148</v>
      </c>
      <c r="Q93" s="413" t="s">
        <v>161</v>
      </c>
      <c r="R93" s="433" t="s">
        <v>52</v>
      </c>
    </row>
    <row r="94" spans="2:20" ht="13.5" customHeight="1" thickBot="1" x14ac:dyDescent="0.25">
      <c r="B94" s="719"/>
      <c r="C94" s="720"/>
      <c r="D94" s="720"/>
      <c r="E94" s="720"/>
      <c r="F94" s="734">
        <f>IF($C$4,K95,K96)</f>
        <v>121.55</v>
      </c>
      <c r="G94" s="1154" t="s">
        <v>162</v>
      </c>
      <c r="H94" s="1155"/>
      <c r="I94" s="1156" t="s">
        <v>163</v>
      </c>
      <c r="J94" s="1157"/>
      <c r="K94" s="1156" t="s">
        <v>164</v>
      </c>
      <c r="L94" s="1158"/>
      <c r="M94" s="448" t="str">
        <f>IF($B$4,"Temp °C","Temp °F")</f>
        <v>Temp °F</v>
      </c>
      <c r="N94" s="449">
        <v>70</v>
      </c>
      <c r="O94" s="450">
        <f>IF($M$102,IF($B$4,MAX($O$90*(($N$94-16)*0.002727),0),MAX($O$90*(($N$94-60)*0.0015),0)),0)</f>
        <v>0</v>
      </c>
      <c r="P94" s="451">
        <v>26.2</v>
      </c>
      <c r="Q94" s="452">
        <v>0.3576388888888889</v>
      </c>
      <c r="R94" s="453">
        <f>(Q94*P94)/60</f>
        <v>0.15616898148148148</v>
      </c>
    </row>
    <row r="95" spans="2:20" ht="13.5" customHeight="1" thickBot="1" x14ac:dyDescent="0.25">
      <c r="B95" s="1166" t="str">
        <f>"Based on a height of "&amp;IF($B$4,ROUND($C$2,3)&amp;" cm",INT($C$2/12)&amp;" ft "&amp;ROUND((($C$2/12)-INT($C$2/12))*12,1)&amp;" in")</f>
        <v>Based on a height of 5 ft 6 in</v>
      </c>
      <c r="C95" s="1167"/>
      <c r="D95" s="1168"/>
      <c r="E95" s="1169" t="str">
        <f>"Male       "&amp;IF(B4,"(kg)    ","(lb)    ")</f>
        <v xml:space="preserve">Male       (lb)    </v>
      </c>
      <c r="F95" s="1170"/>
      <c r="G95" s="1159">
        <f>IF($B$4,49.8952+(MAX($C$2,152.4)-152.4)/2.54*2.49476,110+(MAX($C$2,60)-60)*5.5)</f>
        <v>143</v>
      </c>
      <c r="H95" s="1160"/>
      <c r="I95" s="1161">
        <f>G95*0.88</f>
        <v>125.84</v>
      </c>
      <c r="J95" s="1162"/>
      <c r="K95" s="1161">
        <f>G95*0.85</f>
        <v>121.55</v>
      </c>
      <c r="L95" s="1163"/>
      <c r="M95" s="1171" t="str">
        <f>IF(M102,"Temp Adjusted Time","No Temp Grading")</f>
        <v>No Temp Grading</v>
      </c>
      <c r="N95" s="1172"/>
      <c r="O95" s="441">
        <f ca="1">IF($N$96,$O$90+$O$94,$O$90-$O$94)</f>
        <v>0.17074402298648633</v>
      </c>
      <c r="P95" s="432" t="s">
        <v>153</v>
      </c>
      <c r="Q95" s="413" t="s">
        <v>165</v>
      </c>
      <c r="R95" s="433" t="s">
        <v>52</v>
      </c>
    </row>
    <row r="96" spans="2:20" ht="13.5" customHeight="1" thickBot="1" x14ac:dyDescent="0.25">
      <c r="B96" s="1173" t="str">
        <f>IF($B$4,"(Minimum height is 152.4 cm)","(Minimum height is 5 ft, 0 inches)")</f>
        <v>(Minimum height is 5 ft, 0 inches)</v>
      </c>
      <c r="C96" s="1174"/>
      <c r="D96" s="1175"/>
      <c r="E96" s="1176" t="str">
        <f>"Female     "&amp;IF(B4,"(kg)    ","(lb)    ")</f>
        <v xml:space="preserve">Female     (lb)    </v>
      </c>
      <c r="F96" s="1177"/>
      <c r="G96" s="1189">
        <f>IF($B$4,45.3592+(MAX($C$2,152.4)-152.4)/2.54*2.26796,100+(MAX($C$2,60)-60)*5)</f>
        <v>130</v>
      </c>
      <c r="H96" s="1190"/>
      <c r="I96" s="1190">
        <f>G96*0.88</f>
        <v>114.4</v>
      </c>
      <c r="J96" s="1190"/>
      <c r="K96" s="1190">
        <f>G96*0.85</f>
        <v>110.5</v>
      </c>
      <c r="L96" s="1191"/>
      <c r="M96" s="454"/>
      <c r="N96" s="455" t="b">
        <v>0</v>
      </c>
      <c r="O96" s="456"/>
      <c r="P96" s="457">
        <v>42.195</v>
      </c>
      <c r="Q96" s="458">
        <v>0.19722222222222222</v>
      </c>
      <c r="R96" s="459">
        <f>(Q96*P96)/60</f>
        <v>0.13869652777777777</v>
      </c>
    </row>
    <row r="97" spans="2:18" ht="13.5" customHeight="1" thickTop="1" thickBot="1" x14ac:dyDescent="0.25">
      <c r="B97" s="322"/>
      <c r="C97" s="430"/>
      <c r="D97" s="214"/>
      <c r="E97" s="214"/>
      <c r="F97" s="214"/>
      <c r="G97" s="214"/>
      <c r="H97" s="214"/>
      <c r="I97" s="712"/>
      <c r="J97" s="712"/>
      <c r="K97" s="214"/>
      <c r="L97" s="214"/>
      <c r="M97" s="460"/>
      <c r="N97" s="461"/>
      <c r="O97" s="462"/>
      <c r="P97" s="1192" t="s">
        <v>166</v>
      </c>
      <c r="Q97" s="1193"/>
      <c r="R97" s="1194"/>
    </row>
    <row r="98" spans="2:18" ht="13.5" customHeight="1" thickBot="1" x14ac:dyDescent="0.25">
      <c r="B98" s="1017" t="str">
        <f>"Misc O2 Consumption Calculations - "&amp;E6</f>
        <v>Misc O2 Consumption Calculations - Marathon</v>
      </c>
      <c r="C98" s="1018"/>
      <c r="D98" s="1018"/>
      <c r="E98" s="1018"/>
      <c r="F98" s="1018"/>
      <c r="G98" s="1018"/>
      <c r="H98" s="1018"/>
      <c r="I98" s="1018"/>
      <c r="J98" s="1018"/>
      <c r="K98" s="1018"/>
      <c r="L98" s="1018"/>
      <c r="M98" s="322"/>
      <c r="N98" s="214"/>
      <c r="O98" s="406"/>
      <c r="P98" s="1178" t="s">
        <v>167</v>
      </c>
      <c r="Q98" s="1179"/>
      <c r="R98" s="1180"/>
    </row>
    <row r="99" spans="2:18" ht="13.5" customHeight="1" thickTop="1" thickBot="1" x14ac:dyDescent="0.25">
      <c r="B99" s="1114"/>
      <c r="C99" s="1115"/>
      <c r="D99" s="1181"/>
      <c r="E99" s="1182" t="str">
        <f>"Weight in "&amp;IF($B$4,"kg","lbs")</f>
        <v>Weight in lbs</v>
      </c>
      <c r="F99" s="1183"/>
      <c r="G99" s="1183" t="s">
        <v>168</v>
      </c>
      <c r="H99" s="1183"/>
      <c r="I99" s="1184" t="s">
        <v>419</v>
      </c>
      <c r="J99" s="1185"/>
      <c r="K99" s="664" t="s">
        <v>139</v>
      </c>
      <c r="L99" s="684" t="s">
        <v>52</v>
      </c>
      <c r="M99" s="1186" t="s">
        <v>169</v>
      </c>
      <c r="N99" s="1067"/>
      <c r="O99" s="1068"/>
      <c r="P99" s="463">
        <v>3.1</v>
      </c>
      <c r="Q99" s="1187">
        <f>P99*1.609344</f>
        <v>4.9889664000000007</v>
      </c>
      <c r="R99" s="1188"/>
    </row>
    <row r="100" spans="2:18" ht="13.5" customHeight="1" x14ac:dyDescent="0.2">
      <c r="B100" s="698" t="b">
        <v>1</v>
      </c>
      <c r="C100" s="1214" t="str">
        <f>IF($B$100,"Elite Male","Elite Female")</f>
        <v>Elite Male</v>
      </c>
      <c r="D100" s="1215"/>
      <c r="E100" s="1272">
        <f>IF($B$100,130,105)/IF($B$4,2.20462,1)</f>
        <v>130</v>
      </c>
      <c r="F100" s="1273"/>
      <c r="G100" s="1274">
        <f>IF(E6="Custom","Custom Entry",IF($B$100,VLOOKUP($E$6,$N$50:$AB69,14,0),VLOOKUP($E$6,$N$50:$AB69,15,0)))</f>
        <v>83.631429237546513</v>
      </c>
      <c r="H100" s="1274"/>
      <c r="I100" s="1275">
        <f>IF(E6="Custom","-",E100*G100*IF($B$4,1,0.45359237)/1000)</f>
        <v>4.9314951652649821</v>
      </c>
      <c r="J100" s="1276"/>
      <c r="K100" s="685">
        <f>IF(E6="Custom","-",IF($B$100,VLOOKUP($E$6,$N$50:$AB69,12,0),VLOOKUP($E$6,$N$50:$AB69,13,0)))</f>
        <v>0.83937037212683074</v>
      </c>
      <c r="L100" s="686">
        <f>IF(E6="Custom","-",IF($B$100,VLOOKUP($E$6,$N$50:$AB69,7,0),VLOOKUP($E$6,$N$50:$AB69,8,0)))</f>
        <v>8.5381944444444455E-2</v>
      </c>
      <c r="M100" s="1268" t="b">
        <v>1</v>
      </c>
      <c r="N100" s="1269" t="b">
        <v>1</v>
      </c>
      <c r="O100" s="450">
        <f ca="1">$O$82</f>
        <v>1.770250000000001E-2</v>
      </c>
      <c r="P100" s="464">
        <v>0.41666666666666669</v>
      </c>
      <c r="Q100" s="1195">
        <f>P100/1.609344/60</f>
        <v>4.3150777238703747E-3</v>
      </c>
      <c r="R100" s="1196"/>
    </row>
    <row r="101" spans="2:18" ht="13.5" customHeight="1" x14ac:dyDescent="0.2">
      <c r="B101" s="1262" t="str">
        <f>"Entry Weight &amp; VDOT"</f>
        <v>Entry Weight &amp; VDOT</v>
      </c>
      <c r="C101" s="1263"/>
      <c r="D101" s="1264"/>
      <c r="E101" s="1265">
        <f>IF($C$3,$C$3,"Weight?")</f>
        <v>125</v>
      </c>
      <c r="F101" s="1266"/>
      <c r="G101" s="1267">
        <f>$I$6</f>
        <v>32.78213112087478</v>
      </c>
      <c r="H101" s="1267"/>
      <c r="I101" s="1257">
        <f>IF(E101&lt;&gt;"Weight?",E101*G101*IF($B$4,1,0.45359237)/1000,"-")</f>
        <v>1.8587155685960435</v>
      </c>
      <c r="J101" s="1258"/>
      <c r="K101" s="685">
        <f>D9</f>
        <v>0.80601351031207247</v>
      </c>
      <c r="L101" s="686">
        <f>$G$6</f>
        <v>0.1875</v>
      </c>
      <c r="M101" s="1268" t="b">
        <v>1</v>
      </c>
      <c r="N101" s="1269" t="b">
        <v>1</v>
      </c>
      <c r="O101" s="450">
        <f ca="1">$O$87</f>
        <v>9.4652298648634225E-4</v>
      </c>
      <c r="P101" s="465">
        <v>130</v>
      </c>
      <c r="Q101" s="1270">
        <f>P101*0.45359237</f>
        <v>58.967008100000001</v>
      </c>
      <c r="R101" s="1271"/>
    </row>
    <row r="102" spans="2:18" ht="13.5" customHeight="1" thickBot="1" x14ac:dyDescent="0.25">
      <c r="B102" s="1204" t="s">
        <v>170</v>
      </c>
      <c r="C102" s="1205"/>
      <c r="D102" s="1206"/>
      <c r="E102" s="1207">
        <v>170</v>
      </c>
      <c r="F102" s="1208"/>
      <c r="G102" s="1209">
        <f>IF(E101="Weight?",E101,IF(E102,E101*G101/E102,""))</f>
        <v>24.104508177113807</v>
      </c>
      <c r="H102" s="1209"/>
      <c r="I102" s="1210">
        <f>IF(AND(E102,G102&lt;&gt;"Weight?"),E102*IF($B$4,1,0.45359237)*G102/1000,"-")</f>
        <v>1.8587155685960435</v>
      </c>
      <c r="J102" s="1211"/>
      <c r="K102" s="723">
        <f>IF(AND(E102,I102&lt;&gt;"-"),IF(L105,0,0.8+0.1894393*EXP(-0.012778*L102*1440)+0.2989558*EXP(-0.1932605*L102*1440)),"-")</f>
        <v>0.80220549800790408</v>
      </c>
      <c r="L102" s="724">
        <f>IF(AND(E102,I102&lt;&gt;"-"),L101*(G101/G102)^$I$87,"-")</f>
        <v>0.24201292799609392</v>
      </c>
      <c r="M102" s="1212" t="b">
        <v>0</v>
      </c>
      <c r="N102" s="1213" t="b">
        <v>1</v>
      </c>
      <c r="O102" s="450">
        <f>$O$94</f>
        <v>0</v>
      </c>
      <c r="P102" s="466">
        <v>74</v>
      </c>
      <c r="Q102" s="1246">
        <f>P102*2.54</f>
        <v>187.96</v>
      </c>
      <c r="R102" s="1247"/>
    </row>
    <row r="103" spans="2:18" ht="13.5" customHeight="1" thickTop="1" thickBot="1" x14ac:dyDescent="0.25">
      <c r="B103" s="1248" t="s">
        <v>398</v>
      </c>
      <c r="C103" s="1249"/>
      <c r="D103" s="725">
        <v>1.2418981481481482E-2</v>
      </c>
      <c r="E103" s="1197">
        <v>170</v>
      </c>
      <c r="F103" s="1198"/>
      <c r="G103" s="1199">
        <f>IF(D103*E103,(-4.6 + 0.182258 * (5000/D103/1440) + 0.000104 *(5000/D103/1440)^2)/K103,"")</f>
        <v>56.747356089399183</v>
      </c>
      <c r="H103" s="1199"/>
      <c r="I103" s="1200">
        <f>IF(D103*E103,E103*G103*IF($B$4,1,0.45359237)/1000,"")</f>
        <v>4.3758285157701664</v>
      </c>
      <c r="J103" s="1201"/>
      <c r="K103" s="721">
        <f>IF(D103*E103,0.8+0.1894393*EXP(-0.012778*D103*1440)+0.2989558*EXP(-0.1932605*D103*1440),"")</f>
        <v>0.96017226833617753</v>
      </c>
      <c r="L103" s="722">
        <f>D103</f>
        <v>1.2418981481481482E-2</v>
      </c>
      <c r="M103" s="1202" t="s">
        <v>171</v>
      </c>
      <c r="N103" s="1203"/>
      <c r="O103" s="467">
        <f ca="1">$O$74-$O$100+IF($N$88&lt;$M$87,-$O$101,$O$101)+IF($N$96,$O$102,-$O$102)</f>
        <v>0.17074402298648633</v>
      </c>
      <c r="P103" s="1178" t="s">
        <v>172</v>
      </c>
      <c r="Q103" s="1179"/>
      <c r="R103" s="1180"/>
    </row>
    <row r="104" spans="2:18" ht="13.5" customHeight="1" thickTop="1" thickBot="1" x14ac:dyDescent="0.25">
      <c r="B104" s="1259" t="s">
        <v>399</v>
      </c>
      <c r="C104" s="1260"/>
      <c r="D104" s="726">
        <v>2.6331018518518517E-2</v>
      </c>
      <c r="E104" s="1254">
        <v>170</v>
      </c>
      <c r="F104" s="1255"/>
      <c r="G104" s="1256">
        <f>IF(D104*E104,(-4.6 + 0.182258 * (10000/D104/1440) + 0.000104 *(10000/D104/1440)^2)/K104,"")</f>
        <v>55.297622350960715</v>
      </c>
      <c r="H104" s="1256"/>
      <c r="I104" s="1257">
        <f>IF(D104*E104,E104*G104*IF($B$4,1,0.45359237)/1000,"")</f>
        <v>4.2640385281813318</v>
      </c>
      <c r="J104" s="1258"/>
      <c r="K104" s="685">
        <f>IF(D104*E104,0.8+0.1894393*EXP(-0.012778*D104*1440)+0.2989558*EXP(-0.1932605*D104*1440),"")</f>
        <v>0.91689209677851069</v>
      </c>
      <c r="L104" s="687">
        <f>D104</f>
        <v>2.6331018518518517E-2</v>
      </c>
      <c r="P104" s="468">
        <v>1.3</v>
      </c>
      <c r="Q104" s="1242">
        <f>P104*0.621371192</f>
        <v>0.80778254960000007</v>
      </c>
      <c r="R104" s="1243"/>
    </row>
    <row r="105" spans="2:18" ht="13.5" customHeight="1" thickBot="1" x14ac:dyDescent="0.25">
      <c r="B105" s="688"/>
      <c r="C105" s="689"/>
      <c r="D105" s="1261" t="s">
        <v>420</v>
      </c>
      <c r="E105" s="1261"/>
      <c r="F105" s="1261"/>
      <c r="G105" s="1261"/>
      <c r="H105" s="1261"/>
      <c r="I105" s="1261"/>
      <c r="J105" s="1261"/>
      <c r="K105" s="689"/>
      <c r="L105" s="690"/>
      <c r="M105" s="214"/>
      <c r="N105" s="324"/>
      <c r="O105" s="324"/>
      <c r="P105" s="469">
        <v>0.2590277777777778</v>
      </c>
      <c r="Q105" s="1244">
        <f>P105/0.62137117223/60</f>
        <v>6.947746890374965E-3</v>
      </c>
      <c r="R105" s="1245"/>
    </row>
    <row r="106" spans="2:18" ht="13.5" customHeight="1" thickTop="1" thickBot="1" x14ac:dyDescent="0.25">
      <c r="B106" s="470"/>
      <c r="C106" s="471"/>
      <c r="D106" s="471"/>
      <c r="E106" s="471"/>
      <c r="F106" s="471"/>
      <c r="G106" s="471"/>
      <c r="H106" s="471"/>
      <c r="I106" s="471"/>
      <c r="J106" s="471"/>
      <c r="K106" s="471"/>
      <c r="L106" s="472"/>
      <c r="O106" s="324"/>
      <c r="P106" s="473">
        <v>62</v>
      </c>
      <c r="Q106" s="1229">
        <f>P106*2.20462262</f>
        <v>136.68660244</v>
      </c>
      <c r="R106" s="1230"/>
    </row>
    <row r="107" spans="2:18" ht="13.5" customHeight="1" thickTop="1" thickBot="1" x14ac:dyDescent="0.25">
      <c r="B107" s="1231" t="s">
        <v>401</v>
      </c>
      <c r="C107" s="1232"/>
      <c r="D107" s="1232"/>
      <c r="E107" s="1232"/>
      <c r="F107" s="1232"/>
      <c r="G107" s="1232"/>
      <c r="H107" s="1232"/>
      <c r="I107" s="1232"/>
      <c r="J107" s="1232"/>
      <c r="K107" s="1233"/>
      <c r="L107" s="1234"/>
      <c r="O107" s="324"/>
      <c r="P107" s="474">
        <v>188</v>
      </c>
      <c r="Q107" s="1235">
        <f>P107*0.393700787</f>
        <v>74.015747955999998</v>
      </c>
      <c r="R107" s="1236"/>
    </row>
    <row r="108" spans="2:18" ht="13.5" customHeight="1" thickBot="1" x14ac:dyDescent="0.25">
      <c r="B108" s="1237" t="s">
        <v>87</v>
      </c>
      <c r="C108" s="1238"/>
      <c r="D108" s="475" t="s">
        <v>173</v>
      </c>
      <c r="E108" s="625" t="s">
        <v>349</v>
      </c>
      <c r="F108" s="625" t="s">
        <v>350</v>
      </c>
      <c r="G108" s="625" t="s">
        <v>351</v>
      </c>
      <c r="H108" s="625" t="s">
        <v>352</v>
      </c>
      <c r="I108" s="625" t="s">
        <v>353</v>
      </c>
      <c r="J108" s="625" t="s">
        <v>354</v>
      </c>
      <c r="K108" s="626" t="s">
        <v>355</v>
      </c>
      <c r="L108" s="476" t="s">
        <v>174</v>
      </c>
      <c r="O108" s="324"/>
      <c r="P108" s="1239" t="s">
        <v>175</v>
      </c>
      <c r="Q108" s="1240"/>
      <c r="R108" s="1241"/>
    </row>
    <row r="109" spans="2:18" ht="13.5" customHeight="1" thickTop="1" x14ac:dyDescent="0.2">
      <c r="B109" s="1226" t="s">
        <v>176</v>
      </c>
      <c r="C109" s="1227"/>
      <c r="D109" s="477" t="s">
        <v>177</v>
      </c>
      <c r="E109" s="627">
        <v>1</v>
      </c>
      <c r="F109" s="627">
        <v>1</v>
      </c>
      <c r="G109" s="627">
        <v>1</v>
      </c>
      <c r="H109" s="627">
        <v>1</v>
      </c>
      <c r="I109" s="627"/>
      <c r="J109" s="627">
        <v>1</v>
      </c>
      <c r="K109" s="628"/>
      <c r="L109" s="478">
        <f>IF(SUM(E109:K109)&gt;0,SUM(E109:K109)/L118,"---")</f>
        <v>0.13440860215053763</v>
      </c>
      <c r="M109" s="479" t="s">
        <v>16</v>
      </c>
      <c r="O109" s="324"/>
      <c r="P109" s="464">
        <v>0.41666666666666669</v>
      </c>
      <c r="Q109" s="480">
        <f>P109*1440</f>
        <v>600</v>
      </c>
      <c r="R109" s="481">
        <f>60/P109/24</f>
        <v>6</v>
      </c>
    </row>
    <row r="110" spans="2:18" ht="13.5" customHeight="1" x14ac:dyDescent="0.2">
      <c r="B110" s="1222" t="s">
        <v>178</v>
      </c>
      <c r="C110" s="1223"/>
      <c r="D110" s="482" t="s">
        <v>179</v>
      </c>
      <c r="E110" s="629">
        <v>5.2</v>
      </c>
      <c r="F110" s="629">
        <v>3.7</v>
      </c>
      <c r="G110" s="629">
        <v>3</v>
      </c>
      <c r="H110" s="629">
        <v>5.2</v>
      </c>
      <c r="I110" s="629"/>
      <c r="J110" s="630">
        <v>5.2</v>
      </c>
      <c r="K110" s="631"/>
      <c r="L110" s="483">
        <f>IF(SUM(E110:K110)&gt;0,SUM(E110:K110)/L118,"---")</f>
        <v>0.59946236559139787</v>
      </c>
      <c r="M110" s="484" t="s">
        <v>180</v>
      </c>
      <c r="O110" s="324"/>
      <c r="P110" s="485">
        <v>6</v>
      </c>
      <c r="Q110" s="486">
        <f>60/P110/1440</f>
        <v>6.9444444444444441E-3</v>
      </c>
      <c r="R110" s="487">
        <f>60/P110*60</f>
        <v>600</v>
      </c>
    </row>
    <row r="111" spans="2:18" ht="13.5" customHeight="1" thickBot="1" x14ac:dyDescent="0.25">
      <c r="B111" s="1224" t="s">
        <v>181</v>
      </c>
      <c r="C111" s="1225"/>
      <c r="D111" s="488" t="s">
        <v>182</v>
      </c>
      <c r="E111" s="489" t="str">
        <f t="shared" ref="E111:I111" si="35">IF(MAX($E$118:$K$118)=E118,"*","")</f>
        <v/>
      </c>
      <c r="F111" s="490" t="str">
        <f t="shared" si="35"/>
        <v/>
      </c>
      <c r="G111" s="490" t="str">
        <f t="shared" si="35"/>
        <v/>
      </c>
      <c r="H111" s="490" t="str">
        <f t="shared" si="35"/>
        <v/>
      </c>
      <c r="I111" s="490" t="str">
        <f t="shared" si="35"/>
        <v/>
      </c>
      <c r="J111" s="490" t="str">
        <f>IF(MAX($E$118:$K$118)=J118,"*","")</f>
        <v>*</v>
      </c>
      <c r="K111" s="491" t="str">
        <f t="shared" ref="K111" si="36">IF(MAX($E$118:$K$118)=K118,"*","")</f>
        <v/>
      </c>
      <c r="L111" s="492">
        <f>IF(L118&gt;0,MAX(E118:K118)/L118,"---")</f>
        <v>0.32258064516129031</v>
      </c>
      <c r="M111" s="493">
        <f>IF(L118&gt;0,SUM(E109:K110)/L118,0)</f>
        <v>0.73387096774193539</v>
      </c>
      <c r="O111" s="324"/>
      <c r="P111" s="494">
        <v>600</v>
      </c>
      <c r="Q111" s="495">
        <f>P111/1440/60</f>
        <v>6.9444444444444449E-3</v>
      </c>
      <c r="R111" s="496">
        <f>60/P111*60</f>
        <v>6</v>
      </c>
    </row>
    <row r="112" spans="2:18" ht="13.5" customHeight="1" x14ac:dyDescent="0.2">
      <c r="B112" s="1226" t="s">
        <v>183</v>
      </c>
      <c r="C112" s="1227"/>
      <c r="D112" s="497" t="s">
        <v>184</v>
      </c>
      <c r="E112" s="627"/>
      <c r="F112" s="627">
        <v>1.5</v>
      </c>
      <c r="G112" s="627"/>
      <c r="H112" s="627"/>
      <c r="I112" s="627"/>
      <c r="J112" s="627">
        <v>5.8</v>
      </c>
      <c r="K112" s="628"/>
      <c r="L112" s="478">
        <f>IF(SUM(E112:K112)&gt;0,SUM(E112:K112)/L118,"---")</f>
        <v>0.19623655913978494</v>
      </c>
      <c r="M112" s="498" t="s">
        <v>185</v>
      </c>
      <c r="N112" s="275"/>
      <c r="O112" s="324"/>
      <c r="P112" s="499">
        <v>0.2590277777777778</v>
      </c>
      <c r="Q112" s="480">
        <f>P112*1440</f>
        <v>373.00000000000006</v>
      </c>
      <c r="R112" s="500">
        <f>60/P112/24</f>
        <v>9.6514745308310985</v>
      </c>
    </row>
    <row r="113" spans="2:34" ht="13.5" customHeight="1" x14ac:dyDescent="0.2">
      <c r="B113" s="1222" t="s">
        <v>186</v>
      </c>
      <c r="C113" s="1223"/>
      <c r="D113" s="501" t="s">
        <v>187</v>
      </c>
      <c r="E113" s="630"/>
      <c r="F113" s="630"/>
      <c r="G113" s="630">
        <v>2.6</v>
      </c>
      <c r="H113" s="630"/>
      <c r="I113" s="630"/>
      <c r="J113" s="630"/>
      <c r="K113" s="631"/>
      <c r="L113" s="483">
        <f>IF(SUM(E113:K113)&gt;0,SUM(E113:K113)/L118,"---")</f>
        <v>6.9892473118279563E-2</v>
      </c>
      <c r="M113" s="484" t="s">
        <v>188</v>
      </c>
      <c r="N113" s="324"/>
      <c r="O113" s="324"/>
      <c r="P113" s="502">
        <v>9.65</v>
      </c>
      <c r="Q113" s="503">
        <f>60/P113/1440</f>
        <v>4.3177892918825561E-3</v>
      </c>
      <c r="R113" s="487">
        <f>60/P113*60</f>
        <v>373.05699481865287</v>
      </c>
    </row>
    <row r="114" spans="2:34" ht="13.5" customHeight="1" thickBot="1" x14ac:dyDescent="0.25">
      <c r="B114" s="1224" t="s">
        <v>189</v>
      </c>
      <c r="C114" s="1228"/>
      <c r="D114" s="504"/>
      <c r="E114" s="629"/>
      <c r="F114" s="629"/>
      <c r="G114" s="629"/>
      <c r="H114" s="629"/>
      <c r="I114" s="629"/>
      <c r="J114" s="629"/>
      <c r="K114" s="632"/>
      <c r="L114" s="492" t="str">
        <f>IF(SUM(E114:K114)&gt;0,SUM(E114:K114)/L118,"---")</f>
        <v>---</v>
      </c>
      <c r="M114" s="493">
        <f>SUM(L112:L114)</f>
        <v>0.2661290322580645</v>
      </c>
      <c r="N114" s="324"/>
      <c r="O114" s="324"/>
      <c r="P114" s="494">
        <v>373</v>
      </c>
      <c r="Q114" s="505">
        <f>P114/1440/60</f>
        <v>4.31712962962963E-3</v>
      </c>
      <c r="R114" s="506">
        <f>60/P114*60</f>
        <v>9.6514745308310985</v>
      </c>
    </row>
    <row r="115" spans="2:34" ht="13.5" customHeight="1" thickBot="1" x14ac:dyDescent="0.25">
      <c r="B115" s="1226" t="s">
        <v>190</v>
      </c>
      <c r="C115" s="1227"/>
      <c r="D115" s="497" t="s">
        <v>191</v>
      </c>
      <c r="E115" s="627"/>
      <c r="F115" s="627"/>
      <c r="G115" s="627"/>
      <c r="H115" s="627"/>
      <c r="I115" s="627"/>
      <c r="J115" s="627"/>
      <c r="K115" s="628"/>
      <c r="L115" s="478" t="str">
        <f>IF(SUM(E115:K115)&gt;0,SUM(E115:K115)/L118,"---")</f>
        <v>---</v>
      </c>
      <c r="M115" s="498" t="s">
        <v>192</v>
      </c>
      <c r="N115" s="324"/>
      <c r="O115" s="324"/>
      <c r="P115" s="507"/>
      <c r="Q115" s="508" t="s">
        <v>148</v>
      </c>
      <c r="R115" s="509" t="s">
        <v>193</v>
      </c>
    </row>
    <row r="116" spans="2:34" ht="13.5" customHeight="1" thickTop="1" x14ac:dyDescent="0.2">
      <c r="B116" s="1224" t="s">
        <v>194</v>
      </c>
      <c r="C116" s="1225"/>
      <c r="D116" s="510" t="s">
        <v>97</v>
      </c>
      <c r="E116" s="629"/>
      <c r="F116" s="629"/>
      <c r="G116" s="629"/>
      <c r="H116" s="629"/>
      <c r="I116" s="629"/>
      <c r="J116" s="629"/>
      <c r="K116" s="632"/>
      <c r="L116" s="492" t="str">
        <f>IF(SUM(E116:K116)&gt;0,SUM(E116:K116)/L118,"---")</f>
        <v>---</v>
      </c>
      <c r="M116" s="484" t="s">
        <v>195</v>
      </c>
      <c r="N116" s="324"/>
      <c r="O116" s="324"/>
      <c r="P116" s="511" t="s">
        <v>21</v>
      </c>
      <c r="Q116" s="512">
        <v>13.109375</v>
      </c>
      <c r="R116" s="513">
        <v>21097.493999999999</v>
      </c>
    </row>
    <row r="117" spans="2:34" ht="13.5" customHeight="1" thickBot="1" x14ac:dyDescent="0.25">
      <c r="B117" s="1224" t="s">
        <v>196</v>
      </c>
      <c r="C117" s="1253"/>
      <c r="D117" s="514"/>
      <c r="E117" s="630"/>
      <c r="F117" s="630"/>
      <c r="G117" s="630"/>
      <c r="H117" s="630"/>
      <c r="I117" s="630"/>
      <c r="J117" s="633"/>
      <c r="K117" s="634"/>
      <c r="L117" s="492" t="str">
        <f>IF(SUM(E117:K117)&gt;0,SUM(E117:K117)/L118,"---")</f>
        <v>---</v>
      </c>
      <c r="M117" s="515">
        <f>SUM(L115:L117)</f>
        <v>0</v>
      </c>
      <c r="N117" s="324"/>
      <c r="O117" s="516"/>
      <c r="P117" s="517" t="s">
        <v>20</v>
      </c>
      <c r="Q117" s="518">
        <v>26.21875</v>
      </c>
      <c r="R117" s="519">
        <v>42194.987999999998</v>
      </c>
      <c r="S117" s="430"/>
      <c r="T117" s="430"/>
      <c r="U117" s="430"/>
    </row>
    <row r="118" spans="2:34" ht="13.5" customHeight="1" thickTop="1" thickBot="1" x14ac:dyDescent="0.25">
      <c r="B118" s="520"/>
      <c r="C118" s="521" t="s">
        <v>197</v>
      </c>
      <c r="D118" s="522"/>
      <c r="E118" s="523">
        <f t="shared" ref="E118:I118" si="37">E109+E110+E112+E113+E114+E115+E116+E117</f>
        <v>6.2</v>
      </c>
      <c r="F118" s="523">
        <f t="shared" si="37"/>
        <v>6.2</v>
      </c>
      <c r="G118" s="523">
        <f t="shared" si="37"/>
        <v>6.6</v>
      </c>
      <c r="H118" s="523">
        <f t="shared" si="37"/>
        <v>6.2</v>
      </c>
      <c r="I118" s="523">
        <f t="shared" si="37"/>
        <v>0</v>
      </c>
      <c r="J118" s="524">
        <f>J109+J110+J112+J113+J114+J115+J116+J117</f>
        <v>12</v>
      </c>
      <c r="K118" s="525">
        <f t="shared" ref="K118" si="38">K109+K110+K112+K113+K114+K115+K116+K117</f>
        <v>0</v>
      </c>
      <c r="L118" s="526">
        <f>SUM(E118:K118)</f>
        <v>37.200000000000003</v>
      </c>
      <c r="R118" s="527"/>
      <c r="S118" s="430"/>
      <c r="T118" s="430"/>
      <c r="U118" s="430"/>
    </row>
    <row r="119" spans="2:34" ht="13.5" customHeight="1" thickTop="1" thickBot="1" x14ac:dyDescent="0.25">
      <c r="B119" s="29"/>
      <c r="C119" s="528"/>
      <c r="D119" s="507"/>
      <c r="E119" s="529"/>
      <c r="F119" s="507"/>
      <c r="G119" s="530" t="s">
        <v>198</v>
      </c>
      <c r="H119" s="507"/>
      <c r="I119" s="507"/>
      <c r="J119" s="507"/>
      <c r="K119" s="507"/>
      <c r="L119" s="507"/>
      <c r="M119" s="507"/>
      <c r="N119" s="507"/>
      <c r="O119" s="507"/>
      <c r="P119" s="507"/>
      <c r="Q119" s="507"/>
      <c r="R119" s="531"/>
      <c r="S119" s="430"/>
      <c r="T119" s="430"/>
      <c r="U119" s="430"/>
    </row>
    <row r="120" spans="2:34" ht="13.5" customHeight="1" thickTop="1" x14ac:dyDescent="0.2">
      <c r="S120" s="430"/>
      <c r="T120" s="430"/>
      <c r="U120" s="430"/>
      <c r="AA120" s="214"/>
    </row>
    <row r="121" spans="2:34" ht="13.5" customHeight="1" x14ac:dyDescent="0.2">
      <c r="S121" s="2"/>
      <c r="T121" s="2"/>
      <c r="U121" s="2"/>
      <c r="W121" s="1216" t="s">
        <v>199</v>
      </c>
      <c r="X121" s="1217"/>
      <c r="Y121" s="1217"/>
      <c r="Z121" s="1217"/>
      <c r="AA121" s="1217"/>
      <c r="AB121" s="1217"/>
      <c r="AC121" s="1217"/>
      <c r="AD121" s="1217"/>
      <c r="AE121" s="1218"/>
      <c r="AF121" s="532"/>
      <c r="AG121" s="532"/>
      <c r="AH121" s="532"/>
    </row>
    <row r="122" spans="2:34" ht="13.5" customHeight="1" thickBot="1" x14ac:dyDescent="0.25">
      <c r="S122" s="2"/>
      <c r="T122" s="2"/>
      <c r="U122" s="2"/>
      <c r="W122" s="533"/>
      <c r="X122" s="430"/>
      <c r="AD122" s="532"/>
      <c r="AE122" s="534"/>
      <c r="AF122" s="534"/>
      <c r="AG122" s="534"/>
    </row>
    <row r="123" spans="2:34" ht="13.5" customHeight="1" thickBot="1" x14ac:dyDescent="0.25">
      <c r="S123" s="2"/>
      <c r="T123" s="2"/>
      <c r="U123" s="2"/>
      <c r="W123" s="430"/>
      <c r="X123" s="3"/>
      <c r="AB123" s="1219" t="s">
        <v>251</v>
      </c>
      <c r="AC123" s="1220"/>
      <c r="AD123" s="1221"/>
      <c r="AE123" s="585"/>
    </row>
    <row r="124" spans="2:34" ht="13.5" customHeight="1" thickBot="1" x14ac:dyDescent="0.25">
      <c r="S124" s="2"/>
      <c r="T124" s="2"/>
      <c r="U124" s="2"/>
      <c r="W124" s="535" t="s">
        <v>200</v>
      </c>
      <c r="X124" s="535" t="s">
        <v>201</v>
      </c>
      <c r="Y124" s="535" t="s">
        <v>202</v>
      </c>
      <c r="Z124" s="650" t="s">
        <v>26</v>
      </c>
      <c r="AA124" s="534"/>
      <c r="AB124" s="536" t="s">
        <v>203</v>
      </c>
      <c r="AC124" s="536" t="s">
        <v>204</v>
      </c>
      <c r="AD124" s="536" t="s">
        <v>205</v>
      </c>
      <c r="AE124" s="537" t="s">
        <v>206</v>
      </c>
    </row>
    <row r="125" spans="2:34" ht="13.5" customHeight="1" x14ac:dyDescent="0.2">
      <c r="S125" s="2"/>
      <c r="T125" s="2"/>
      <c r="U125" s="2"/>
      <c r="W125" s="538">
        <v>0.5</v>
      </c>
      <c r="X125" s="538">
        <v>0.56000000000000005</v>
      </c>
      <c r="Y125" s="539">
        <v>0.1</v>
      </c>
      <c r="Z125" s="651" t="s">
        <v>25</v>
      </c>
      <c r="AA125" s="534"/>
      <c r="AB125" s="540">
        <v>5</v>
      </c>
      <c r="AC125" s="540">
        <v>0.60563999999999996</v>
      </c>
      <c r="AD125" s="540">
        <v>0.66959999999999986</v>
      </c>
      <c r="AE125" s="540">
        <v>0.96112336382737162</v>
      </c>
    </row>
    <row r="126" spans="2:34" ht="13.5" customHeight="1" x14ac:dyDescent="0.2">
      <c r="S126" s="2"/>
      <c r="T126" s="2"/>
      <c r="U126" s="2"/>
      <c r="W126" s="541">
        <v>0.59</v>
      </c>
      <c r="X126" s="541">
        <v>0.65</v>
      </c>
      <c r="Y126" s="542">
        <v>0.1</v>
      </c>
      <c r="Z126" s="651" t="s">
        <v>24</v>
      </c>
      <c r="AA126" s="534"/>
      <c r="AB126" s="543">
        <f t="shared" ref="AB126:AB189" si="39">+AB125+1</f>
        <v>6</v>
      </c>
      <c r="AC126" s="543">
        <v>0.65963999999999989</v>
      </c>
      <c r="AD126" s="543">
        <v>0.70604666666666671</v>
      </c>
      <c r="AE126" s="543">
        <v>1.0442340767273608</v>
      </c>
    </row>
    <row r="127" spans="2:34" ht="13.5" customHeight="1" x14ac:dyDescent="0.2">
      <c r="S127" s="2"/>
      <c r="T127" s="2"/>
      <c r="U127" s="2"/>
      <c r="W127" s="541">
        <v>0.59499999999999997</v>
      </c>
      <c r="X127" s="541">
        <v>0.65500000000000003</v>
      </c>
      <c r="Y127" s="542">
        <f>(Y125+Y128)/2</f>
        <v>0.10500000000000001</v>
      </c>
      <c r="Z127" s="545" t="s">
        <v>23</v>
      </c>
      <c r="AA127" s="534"/>
      <c r="AB127" s="543">
        <f t="shared" si="39"/>
        <v>7</v>
      </c>
      <c r="AC127" s="543">
        <v>0.70964000000000005</v>
      </c>
      <c r="AD127" s="543">
        <v>0.74047999999999992</v>
      </c>
      <c r="AE127" s="543">
        <v>1.0698634535696265</v>
      </c>
    </row>
    <row r="128" spans="2:34" ht="13.5" customHeight="1" x14ac:dyDescent="0.2">
      <c r="S128" s="2"/>
      <c r="T128" s="2"/>
      <c r="U128" s="2"/>
      <c r="W128" s="541">
        <v>0.6</v>
      </c>
      <c r="X128" s="541">
        <v>0.66</v>
      </c>
      <c r="Y128" s="544">
        <v>0.11</v>
      </c>
      <c r="Z128" s="545" t="s">
        <v>22</v>
      </c>
      <c r="AA128" s="534"/>
      <c r="AB128" s="543">
        <f t="shared" si="39"/>
        <v>8</v>
      </c>
      <c r="AC128" s="543">
        <v>0.75563999999999998</v>
      </c>
      <c r="AD128" s="543">
        <v>0.77283999999999997</v>
      </c>
      <c r="AE128" s="543">
        <v>1.0905153464137425</v>
      </c>
    </row>
    <row r="129" spans="19:32" ht="13.5" customHeight="1" x14ac:dyDescent="0.2">
      <c r="S129" s="2"/>
      <c r="T129" s="2"/>
      <c r="U129" s="2"/>
      <c r="W129" s="541">
        <v>0.60499999999999998</v>
      </c>
      <c r="X129" s="541">
        <v>0.66500000000000004</v>
      </c>
      <c r="Y129" s="544">
        <f>(Y128+Y130)/2</f>
        <v>0.11599999999999999</v>
      </c>
      <c r="Z129" s="545" t="s">
        <v>21</v>
      </c>
      <c r="AA129" s="534"/>
      <c r="AB129" s="543">
        <f t="shared" si="39"/>
        <v>9</v>
      </c>
      <c r="AC129" s="543">
        <v>0.79763999999999979</v>
      </c>
      <c r="AD129" s="543">
        <v>0.80318666666666683</v>
      </c>
      <c r="AE129" s="543">
        <v>1.1067837684547033</v>
      </c>
    </row>
    <row r="130" spans="19:32" ht="13.5" customHeight="1" x14ac:dyDescent="0.2">
      <c r="S130" s="2"/>
      <c r="T130" s="2"/>
      <c r="U130" s="2"/>
      <c r="W130" s="541">
        <v>0.61</v>
      </c>
      <c r="X130" s="541">
        <v>0.67</v>
      </c>
      <c r="Y130" s="544">
        <v>0.122</v>
      </c>
      <c r="Z130" s="545" t="s">
        <v>20</v>
      </c>
      <c r="AA130" s="534"/>
      <c r="AB130" s="543">
        <f t="shared" si="39"/>
        <v>10</v>
      </c>
      <c r="AC130" s="543">
        <v>0.83563999999999994</v>
      </c>
      <c r="AD130" s="543">
        <v>0.83158000000000021</v>
      </c>
      <c r="AE130" s="543">
        <v>1.1193704644085498</v>
      </c>
    </row>
    <row r="131" spans="19:32" ht="13.5" customHeight="1" x14ac:dyDescent="0.2">
      <c r="S131" s="2"/>
      <c r="T131" s="2"/>
      <c r="U131" s="2"/>
      <c r="W131" s="541">
        <v>0.61499999999999999</v>
      </c>
      <c r="X131" s="541">
        <v>0.67500000000000004</v>
      </c>
      <c r="Y131" s="544">
        <f>(Y130+Y132)/2</f>
        <v>0.1285</v>
      </c>
      <c r="Z131" s="545" t="s">
        <v>2</v>
      </c>
      <c r="AA131" s="534"/>
      <c r="AB131" s="543">
        <f t="shared" si="39"/>
        <v>11</v>
      </c>
      <c r="AC131" s="543">
        <v>0.86964000000000008</v>
      </c>
      <c r="AD131" s="543">
        <v>0.85783999999999994</v>
      </c>
      <c r="AE131" s="543">
        <v>1.1286846691527839</v>
      </c>
    </row>
    <row r="132" spans="19:32" ht="13.5" customHeight="1" x14ac:dyDescent="0.2">
      <c r="S132" s="2"/>
      <c r="T132" s="2"/>
      <c r="U132" s="2"/>
      <c r="W132" s="541">
        <v>0.62</v>
      </c>
      <c r="X132" s="541">
        <v>0.68</v>
      </c>
      <c r="Y132" s="542">
        <v>0.13500000000000001</v>
      </c>
      <c r="Z132" s="546"/>
      <c r="AA132" s="534"/>
      <c r="AB132" s="543">
        <f t="shared" si="39"/>
        <v>12</v>
      </c>
      <c r="AC132" s="543">
        <v>0.89963999999999966</v>
      </c>
      <c r="AD132" s="543">
        <v>0.88214666666666686</v>
      </c>
      <c r="AE132" s="543">
        <v>1.135000484637007</v>
      </c>
    </row>
    <row r="133" spans="19:32" ht="13.5" customHeight="1" x14ac:dyDescent="0.2">
      <c r="S133" s="2"/>
      <c r="T133" s="2"/>
      <c r="U133" s="2"/>
      <c r="W133" s="541">
        <v>0.625</v>
      </c>
      <c r="X133" s="541">
        <v>0.68500000000000005</v>
      </c>
      <c r="Y133" s="542">
        <f>(Y132+Y134)/2</f>
        <v>0.14250000000000002</v>
      </c>
      <c r="Z133" s="546"/>
      <c r="AA133" s="534"/>
      <c r="AB133" s="543">
        <f t="shared" si="39"/>
        <v>13</v>
      </c>
      <c r="AC133" s="543">
        <v>0.9256399999999998</v>
      </c>
      <c r="AD133" s="543">
        <v>0.90444000000000002</v>
      </c>
      <c r="AE133" s="543">
        <v>1.1386201807048688</v>
      </c>
    </row>
    <row r="134" spans="19:32" ht="13.5" customHeight="1" x14ac:dyDescent="0.2">
      <c r="S134" s="2"/>
      <c r="T134" s="2"/>
      <c r="U134" s="2"/>
      <c r="W134" s="541">
        <v>0.63</v>
      </c>
      <c r="X134" s="541">
        <v>0.69</v>
      </c>
      <c r="Y134" s="542">
        <v>0.15</v>
      </c>
      <c r="Z134" s="546"/>
      <c r="AB134" s="543">
        <f t="shared" si="39"/>
        <v>14</v>
      </c>
      <c r="AC134" s="543">
        <v>0.9476399999999997</v>
      </c>
      <c r="AD134" s="543">
        <v>0.92465999999999982</v>
      </c>
      <c r="AE134" s="543">
        <v>1.1399138300696301</v>
      </c>
    </row>
    <row r="135" spans="19:32" ht="13.5" customHeight="1" x14ac:dyDescent="0.2">
      <c r="S135" s="2"/>
      <c r="T135" s="2"/>
      <c r="U135" s="2"/>
      <c r="W135" s="541">
        <v>0.63500000000000001</v>
      </c>
      <c r="X135" s="541">
        <v>0.69499999999999995</v>
      </c>
      <c r="Y135" s="542">
        <f>(Y134+Y136)/2</f>
        <v>0.1585</v>
      </c>
      <c r="Z135" s="546"/>
      <c r="AB135" s="543">
        <f t="shared" si="39"/>
        <v>15</v>
      </c>
      <c r="AC135" s="543">
        <v>0.96564000000000016</v>
      </c>
      <c r="AD135" s="543">
        <v>0.94286666666666674</v>
      </c>
      <c r="AE135" s="543">
        <v>1.1389721181856014</v>
      </c>
    </row>
    <row r="136" spans="19:32" ht="13.5" customHeight="1" x14ac:dyDescent="0.2">
      <c r="S136" s="2"/>
      <c r="T136" s="2"/>
      <c r="U136" s="2"/>
      <c r="W136" s="541">
        <v>0.64</v>
      </c>
      <c r="X136" s="541">
        <v>0.7</v>
      </c>
      <c r="Y136" s="542">
        <v>0.16700000000000001</v>
      </c>
      <c r="Z136" s="546"/>
      <c r="AB136" s="543">
        <f t="shared" si="39"/>
        <v>16</v>
      </c>
      <c r="AC136" s="543">
        <v>0.97963999999999973</v>
      </c>
      <c r="AD136" s="543">
        <v>0.96006666666666685</v>
      </c>
      <c r="AE136" s="543">
        <v>1.1345731655830449</v>
      </c>
    </row>
    <row r="137" spans="19:32" ht="13.5" customHeight="1" x14ac:dyDescent="0.2">
      <c r="S137" s="2"/>
      <c r="T137" s="2"/>
      <c r="U137" s="2"/>
      <c r="W137" s="541">
        <v>0.64500000000000002</v>
      </c>
      <c r="X137" s="541">
        <v>0.70499999999999996</v>
      </c>
      <c r="Y137" s="542">
        <f>(Y136+Y138)/2</f>
        <v>0.17499999999999999</v>
      </c>
      <c r="Z137" s="546"/>
      <c r="AB137" s="543">
        <f t="shared" si="39"/>
        <v>17</v>
      </c>
      <c r="AC137" s="543">
        <v>0.99164000000000008</v>
      </c>
      <c r="AD137" s="543">
        <v>0.97726666666666684</v>
      </c>
      <c r="AE137" s="543">
        <v>1.127948717948718</v>
      </c>
      <c r="AF137" s="534"/>
    </row>
    <row r="138" spans="19:32" ht="13.5" customHeight="1" x14ac:dyDescent="0.2">
      <c r="S138" s="2"/>
      <c r="T138" s="2"/>
      <c r="U138" s="2"/>
      <c r="W138" s="541">
        <v>0.65</v>
      </c>
      <c r="X138" s="541">
        <v>0.71</v>
      </c>
      <c r="Y138" s="542">
        <v>0.183</v>
      </c>
      <c r="Z138" s="546"/>
      <c r="AB138" s="543">
        <f t="shared" si="39"/>
        <v>18</v>
      </c>
      <c r="AC138" s="543">
        <v>0.99931999999999988</v>
      </c>
      <c r="AD138" s="543">
        <v>0.98997333333333326</v>
      </c>
      <c r="AE138" s="543">
        <v>1.1223755894829777</v>
      </c>
    </row>
    <row r="139" spans="19:32" ht="13.5" customHeight="1" x14ac:dyDescent="0.2">
      <c r="S139" s="2"/>
      <c r="T139" s="2"/>
      <c r="U139" s="2"/>
      <c r="W139" s="541">
        <v>0.65500000000000003</v>
      </c>
      <c r="X139" s="541">
        <v>0.71499999999999997</v>
      </c>
      <c r="Y139" s="542">
        <f>(Y138+Y140)/2</f>
        <v>0.1915</v>
      </c>
      <c r="Z139" s="546"/>
      <c r="AB139" s="543">
        <f t="shared" si="39"/>
        <v>19</v>
      </c>
      <c r="AC139" s="543">
        <v>1</v>
      </c>
      <c r="AD139" s="543">
        <v>0.99627999999999994</v>
      </c>
      <c r="AE139" s="543">
        <v>1.1163427143041849</v>
      </c>
    </row>
    <row r="140" spans="19:32" ht="13.5" customHeight="1" x14ac:dyDescent="0.2">
      <c r="S140" s="2"/>
      <c r="T140" s="2"/>
      <c r="U140" s="2"/>
      <c r="W140" s="541">
        <v>0.66</v>
      </c>
      <c r="X140" s="541">
        <v>0.72</v>
      </c>
      <c r="Y140" s="542">
        <v>0.2</v>
      </c>
      <c r="Z140" s="546"/>
      <c r="AB140" s="543">
        <f t="shared" si="39"/>
        <v>20</v>
      </c>
      <c r="AC140" s="543">
        <v>1</v>
      </c>
      <c r="AD140" s="543">
        <v>0.99898666666666669</v>
      </c>
      <c r="AE140" s="543">
        <v>1.1133474119725899</v>
      </c>
    </row>
    <row r="141" spans="19:32" ht="13.5" customHeight="1" x14ac:dyDescent="0.2">
      <c r="S141" s="2"/>
      <c r="T141" s="2"/>
      <c r="U141" s="2"/>
      <c r="W141" s="541">
        <v>0.66500000000000004</v>
      </c>
      <c r="X141" s="541">
        <v>0.72499999999999998</v>
      </c>
      <c r="Y141" s="542">
        <f>(Y140+Y142)/2</f>
        <v>0.20850000000000002</v>
      </c>
      <c r="Z141" s="546"/>
      <c r="AB141" s="543">
        <f t="shared" si="39"/>
        <v>21</v>
      </c>
      <c r="AC141" s="543">
        <v>1</v>
      </c>
      <c r="AD141" s="543">
        <v>0.99974666666666678</v>
      </c>
      <c r="AE141" s="543">
        <v>1.1125070034047322</v>
      </c>
    </row>
    <row r="142" spans="19:32" ht="13.5" customHeight="1" x14ac:dyDescent="0.2">
      <c r="S142" s="2"/>
      <c r="T142" s="2"/>
      <c r="U142" s="2"/>
      <c r="W142" s="541">
        <v>0.67</v>
      </c>
      <c r="X142" s="541">
        <v>0.73</v>
      </c>
      <c r="Y142" s="542">
        <v>0.217</v>
      </c>
      <c r="Z142" s="546"/>
      <c r="AB142" s="543">
        <f t="shared" si="39"/>
        <v>22</v>
      </c>
      <c r="AC142" s="543">
        <v>1</v>
      </c>
      <c r="AD142" s="543">
        <v>1</v>
      </c>
      <c r="AE142" s="543">
        <v>1.1122484161530837</v>
      </c>
    </row>
    <row r="143" spans="19:32" ht="13.5" customHeight="1" x14ac:dyDescent="0.2">
      <c r="S143" s="2"/>
      <c r="T143" s="2"/>
      <c r="U143" s="2"/>
      <c r="W143" s="541">
        <v>0.67500000000000004</v>
      </c>
      <c r="X143" s="541">
        <v>0.73499999999999999</v>
      </c>
      <c r="Y143" s="542">
        <f>(Y142+Y144)/2</f>
        <v>0.22500000000000001</v>
      </c>
      <c r="Z143" s="546"/>
      <c r="AB143" s="543">
        <f t="shared" si="39"/>
        <v>23</v>
      </c>
      <c r="AC143" s="543">
        <v>1</v>
      </c>
      <c r="AD143" s="543">
        <v>1</v>
      </c>
      <c r="AE143" s="543">
        <v>1.1122484161530837</v>
      </c>
    </row>
    <row r="144" spans="19:32" ht="13.5" customHeight="1" x14ac:dyDescent="0.2">
      <c r="S144" s="2"/>
      <c r="T144" s="2"/>
      <c r="U144" s="2"/>
      <c r="W144" s="541">
        <v>0.68</v>
      </c>
      <c r="X144" s="541">
        <v>0.74</v>
      </c>
      <c r="Y144" s="542">
        <v>0.23300000000000001</v>
      </c>
      <c r="Z144" s="546"/>
      <c r="AB144" s="543">
        <f t="shared" si="39"/>
        <v>24</v>
      </c>
      <c r="AC144" s="543">
        <v>1</v>
      </c>
      <c r="AD144" s="543">
        <v>1</v>
      </c>
      <c r="AE144" s="543">
        <v>1.1122484161530837</v>
      </c>
    </row>
    <row r="145" spans="19:31" ht="13.5" customHeight="1" x14ac:dyDescent="0.2">
      <c r="S145" s="2"/>
      <c r="T145" s="2"/>
      <c r="U145" s="2"/>
      <c r="W145" s="541">
        <v>0.68500000000000005</v>
      </c>
      <c r="X145" s="541">
        <v>0.745</v>
      </c>
      <c r="Y145" s="542">
        <f>(Y144+Y146)/2</f>
        <v>0.24149999999999999</v>
      </c>
      <c r="Z145" s="546"/>
      <c r="AB145" s="543">
        <f t="shared" si="39"/>
        <v>25</v>
      </c>
      <c r="AC145" s="543">
        <v>1</v>
      </c>
      <c r="AD145" s="543">
        <v>1</v>
      </c>
      <c r="AE145" s="543">
        <v>1.1122484161530837</v>
      </c>
    </row>
    <row r="146" spans="19:31" ht="13.5" customHeight="1" x14ac:dyDescent="0.2">
      <c r="S146" s="2"/>
      <c r="T146" s="2"/>
      <c r="U146" s="2"/>
      <c r="W146" s="541">
        <v>0.69</v>
      </c>
      <c r="X146" s="541">
        <v>0.75</v>
      </c>
      <c r="Y146" s="542">
        <v>0.25</v>
      </c>
      <c r="Z146" s="546"/>
      <c r="AB146" s="543">
        <f t="shared" si="39"/>
        <v>26</v>
      </c>
      <c r="AC146" s="543">
        <v>1</v>
      </c>
      <c r="AD146" s="543">
        <v>1</v>
      </c>
      <c r="AE146" s="543">
        <v>1.1122484161530837</v>
      </c>
    </row>
    <row r="147" spans="19:31" ht="13.5" customHeight="1" x14ac:dyDescent="0.2">
      <c r="S147" s="2"/>
      <c r="T147" s="2"/>
      <c r="U147" s="2"/>
      <c r="W147" s="541">
        <v>0.7</v>
      </c>
      <c r="X147" s="541">
        <v>0.755</v>
      </c>
      <c r="Y147" s="542">
        <f>(Y146+Y148)/2</f>
        <v>0.26649999999999996</v>
      </c>
      <c r="Z147" s="546"/>
      <c r="AB147" s="543">
        <f t="shared" si="39"/>
        <v>27</v>
      </c>
      <c r="AC147" s="543">
        <v>1</v>
      </c>
      <c r="AD147" s="543">
        <v>1</v>
      </c>
      <c r="AE147" s="543">
        <v>1.1122484161530837</v>
      </c>
    </row>
    <row r="148" spans="19:31" ht="13.5" customHeight="1" x14ac:dyDescent="0.2">
      <c r="S148" s="2"/>
      <c r="T148" s="2"/>
      <c r="U148" s="2"/>
      <c r="W148" s="541">
        <v>0.71</v>
      </c>
      <c r="X148" s="541">
        <v>0.76</v>
      </c>
      <c r="Y148" s="542">
        <v>0.28299999999999997</v>
      </c>
      <c r="Z148" s="546"/>
      <c r="AB148" s="543">
        <f t="shared" si="39"/>
        <v>28</v>
      </c>
      <c r="AC148" s="543">
        <v>0.99998000000000009</v>
      </c>
      <c r="AD148" s="543">
        <v>1</v>
      </c>
      <c r="AE148" s="543">
        <v>1.1122484161530837</v>
      </c>
    </row>
    <row r="149" spans="19:31" ht="13.5" customHeight="1" x14ac:dyDescent="0.2">
      <c r="S149" s="2"/>
      <c r="T149" s="2"/>
      <c r="U149" s="2"/>
      <c r="W149" s="541">
        <v>0.71499999999999997</v>
      </c>
      <c r="X149" s="541">
        <v>0.76500000000000001</v>
      </c>
      <c r="Y149" s="542">
        <f>(Y148+Y150)/2</f>
        <v>0.29149999999999998</v>
      </c>
      <c r="Z149" s="546"/>
      <c r="AB149" s="543">
        <f t="shared" si="39"/>
        <v>29</v>
      </c>
      <c r="AC149" s="543">
        <v>0.99986000000000008</v>
      </c>
      <c r="AD149" s="543">
        <v>1</v>
      </c>
      <c r="AE149" s="543">
        <v>1.1122244488977955</v>
      </c>
    </row>
    <row r="150" spans="19:31" ht="13.5" customHeight="1" x14ac:dyDescent="0.2">
      <c r="S150" s="2"/>
      <c r="T150" s="2"/>
      <c r="U150" s="2"/>
      <c r="W150" s="541">
        <v>0.72</v>
      </c>
      <c r="X150" s="541">
        <v>0.77</v>
      </c>
      <c r="Y150" s="542">
        <v>0.3</v>
      </c>
      <c r="Z150" s="546"/>
      <c r="AB150" s="543">
        <f t="shared" si="39"/>
        <v>30</v>
      </c>
      <c r="AC150" s="543">
        <v>0.99954666666666669</v>
      </c>
      <c r="AD150" s="543">
        <v>0.99990000000000012</v>
      </c>
      <c r="AE150" s="543">
        <v>1.1121883954926424</v>
      </c>
    </row>
    <row r="151" spans="19:31" ht="13.5" customHeight="1" x14ac:dyDescent="0.2">
      <c r="S151" s="2"/>
      <c r="T151" s="2"/>
      <c r="U151" s="2"/>
      <c r="W151" s="541">
        <v>0.72499999999999998</v>
      </c>
      <c r="X151" s="541">
        <v>0.77500000000000002</v>
      </c>
      <c r="Y151" s="542">
        <f>(Y150+Y152)/2</f>
        <v>0.3085</v>
      </c>
      <c r="Z151" s="546"/>
      <c r="AB151" s="543">
        <f t="shared" si="39"/>
        <v>31</v>
      </c>
      <c r="AC151" s="543">
        <v>0.99899333333333329</v>
      </c>
      <c r="AD151" s="543">
        <v>0.99950000000000039</v>
      </c>
      <c r="AE151" s="543">
        <v>1.1124060231360806</v>
      </c>
    </row>
    <row r="152" spans="19:31" ht="13.5" customHeight="1" x14ac:dyDescent="0.2">
      <c r="S152" s="2"/>
      <c r="T152" s="2"/>
      <c r="U152" s="2"/>
      <c r="W152" s="541">
        <v>0.73</v>
      </c>
      <c r="X152" s="541">
        <v>0.78</v>
      </c>
      <c r="Y152" s="542">
        <v>0.317</v>
      </c>
      <c r="Z152" s="546"/>
      <c r="AB152" s="543">
        <f t="shared" si="39"/>
        <v>32</v>
      </c>
      <c r="AC152" s="543">
        <v>0.99795333333333347</v>
      </c>
      <c r="AD152" s="543">
        <v>0.99846666666666695</v>
      </c>
      <c r="AE152" s="543">
        <v>1.1130369253956292</v>
      </c>
    </row>
    <row r="153" spans="19:31" ht="13.5" customHeight="1" x14ac:dyDescent="0.2">
      <c r="S153" s="2"/>
      <c r="T153" s="2"/>
      <c r="U153" s="2"/>
      <c r="W153" s="541">
        <v>0.73499999999999999</v>
      </c>
      <c r="X153" s="541">
        <v>0.78500000000000003</v>
      </c>
      <c r="Y153" s="542">
        <f>(Y152+Y154)/2</f>
        <v>0.32500000000000001</v>
      </c>
      <c r="Z153" s="546"/>
      <c r="AB153" s="543">
        <f t="shared" si="39"/>
        <v>33</v>
      </c>
      <c r="AC153" s="543">
        <v>0.9962000000000002</v>
      </c>
      <c r="AD153" s="543">
        <v>0.99690000000000012</v>
      </c>
      <c r="AE153" s="543">
        <v>1.1134335419220267</v>
      </c>
    </row>
    <row r="154" spans="19:31" ht="13.5" customHeight="1" x14ac:dyDescent="0.2">
      <c r="S154" s="2"/>
      <c r="T154" s="2"/>
      <c r="U154" s="2"/>
      <c r="W154" s="541">
        <v>0.74</v>
      </c>
      <c r="X154" s="541">
        <v>0.79</v>
      </c>
      <c r="Y154" s="542">
        <v>0.33300000000000002</v>
      </c>
      <c r="Z154" s="546"/>
      <c r="AB154" s="543">
        <f t="shared" si="39"/>
        <v>34</v>
      </c>
      <c r="AC154" s="543">
        <v>0.99377999999999955</v>
      </c>
      <c r="AD154" s="543">
        <v>0.99474000000000007</v>
      </c>
      <c r="AE154" s="543">
        <v>1.1138178228021978</v>
      </c>
    </row>
    <row r="155" spans="19:31" ht="13.5" customHeight="1" x14ac:dyDescent="0.2">
      <c r="S155" s="2"/>
      <c r="T155" s="2"/>
      <c r="U155" s="2"/>
      <c r="W155" s="541">
        <v>0.745</v>
      </c>
      <c r="X155" s="541">
        <v>0.79500000000000004</v>
      </c>
      <c r="Y155" s="542">
        <f>(Y154+Y156)/2</f>
        <v>0.34150000000000003</v>
      </c>
      <c r="Z155" s="546"/>
      <c r="AB155" s="543">
        <f t="shared" si="39"/>
        <v>35</v>
      </c>
      <c r="AC155" s="543">
        <v>0.99062666666666632</v>
      </c>
      <c r="AD155" s="543">
        <v>0.99204000000000003</v>
      </c>
      <c r="AE155" s="543">
        <v>1.113938952866133</v>
      </c>
    </row>
    <row r="156" spans="19:31" ht="13.5" customHeight="1" x14ac:dyDescent="0.2">
      <c r="S156" s="2"/>
      <c r="T156" s="2"/>
      <c r="U156" s="2"/>
      <c r="W156" s="541">
        <v>0.75</v>
      </c>
      <c r="X156" s="541">
        <v>0.8</v>
      </c>
      <c r="Y156" s="542">
        <v>0.35</v>
      </c>
      <c r="Z156" s="546"/>
      <c r="AB156" s="543">
        <f t="shared" si="39"/>
        <v>36</v>
      </c>
      <c r="AC156" s="543">
        <v>0.98680000000000023</v>
      </c>
      <c r="AD156" s="543">
        <v>0.98875333333333326</v>
      </c>
      <c r="AE156" s="543">
        <v>1.1140766342379245</v>
      </c>
    </row>
    <row r="157" spans="19:31" ht="13.5" customHeight="1" x14ac:dyDescent="0.2">
      <c r="S157" s="2"/>
      <c r="T157" s="2"/>
      <c r="U157" s="2"/>
      <c r="W157" s="541">
        <v>0.755</v>
      </c>
      <c r="X157" s="541">
        <v>0.80500000000000005</v>
      </c>
      <c r="Y157" s="542">
        <f>(Y156+Y158)/2</f>
        <v>0.35849999999999999</v>
      </c>
      <c r="AB157" s="543">
        <f t="shared" si="39"/>
        <v>37</v>
      </c>
      <c r="AC157" s="543">
        <v>0.98223999999999967</v>
      </c>
      <c r="AD157" s="543">
        <v>0.98488000000000009</v>
      </c>
      <c r="AE157" s="543">
        <v>1.1138116382332319</v>
      </c>
    </row>
    <row r="158" spans="19:31" ht="13.5" customHeight="1" x14ac:dyDescent="0.2">
      <c r="S158" s="2"/>
      <c r="T158" s="2"/>
      <c r="U158" s="2"/>
      <c r="W158" s="541">
        <v>0.76</v>
      </c>
      <c r="X158" s="541">
        <v>0.81</v>
      </c>
      <c r="Y158" s="542">
        <v>0.36699999999999999</v>
      </c>
      <c r="AB158" s="543">
        <f t="shared" si="39"/>
        <v>38</v>
      </c>
      <c r="AC158" s="543">
        <v>0.9770066666666668</v>
      </c>
      <c r="AD158" s="543">
        <v>0.98044666666666669</v>
      </c>
      <c r="AE158" s="543">
        <v>1.1135095137420719</v>
      </c>
    </row>
    <row r="159" spans="19:31" ht="13.5" customHeight="1" x14ac:dyDescent="0.2">
      <c r="S159" s="2"/>
      <c r="T159" s="2"/>
      <c r="U159" s="2"/>
      <c r="W159" s="541">
        <v>0.76500000000000001</v>
      </c>
      <c r="X159" s="541">
        <v>0.81499999999999995</v>
      </c>
      <c r="Y159" s="542">
        <f>(Y158+Y160)/2</f>
        <v>0.3795</v>
      </c>
      <c r="AB159" s="543">
        <f t="shared" si="39"/>
        <v>39</v>
      </c>
      <c r="AC159" s="543">
        <v>0.97109333333333347</v>
      </c>
      <c r="AD159" s="543">
        <v>0.97545999999999999</v>
      </c>
      <c r="AE159" s="543">
        <v>1.1129493378179525</v>
      </c>
    </row>
    <row r="160" spans="19:31" ht="13.5" customHeight="1" x14ac:dyDescent="0.2">
      <c r="S160" s="2"/>
      <c r="T160" s="2"/>
      <c r="U160" s="2"/>
      <c r="W160" s="541">
        <v>0.77</v>
      </c>
      <c r="X160" s="541">
        <v>0.82</v>
      </c>
      <c r="Y160" s="542">
        <v>0.39200000000000002</v>
      </c>
      <c r="AB160" s="543">
        <f t="shared" si="39"/>
        <v>40</v>
      </c>
      <c r="AC160" s="543">
        <v>0.96466666666666667</v>
      </c>
      <c r="AD160" s="543">
        <v>0.96988666666666645</v>
      </c>
      <c r="AE160" s="543">
        <v>1.1124689269077312</v>
      </c>
    </row>
    <row r="161" spans="19:31" ht="13.5" customHeight="1" x14ac:dyDescent="0.2">
      <c r="S161" s="2"/>
      <c r="T161" s="2"/>
      <c r="U161" s="2"/>
      <c r="W161" s="541">
        <v>0.77500000000000002</v>
      </c>
      <c r="X161" s="541">
        <v>0.82499999999999996</v>
      </c>
      <c r="Y161" s="542">
        <f>(Y160+Y162)/2</f>
        <v>0.40449999999999997</v>
      </c>
      <c r="AB161" s="543">
        <f t="shared" si="39"/>
        <v>41</v>
      </c>
      <c r="AC161" s="543">
        <v>0.9577266666666665</v>
      </c>
      <c r="AD161" s="543">
        <v>0.96372666666666673</v>
      </c>
      <c r="AE161" s="543">
        <v>1.1118831801870943</v>
      </c>
    </row>
    <row r="162" spans="19:31" ht="13.5" customHeight="1" x14ac:dyDescent="0.2">
      <c r="S162" s="2"/>
      <c r="T162" s="2"/>
      <c r="U162" s="2"/>
      <c r="W162" s="541">
        <v>0.78</v>
      </c>
      <c r="X162" s="541">
        <v>0.83</v>
      </c>
      <c r="Y162" s="542">
        <v>0.41699999999999998</v>
      </c>
      <c r="AB162" s="543">
        <f t="shared" si="39"/>
        <v>42</v>
      </c>
      <c r="AC162" s="543">
        <v>0.95040666666666629</v>
      </c>
      <c r="AD162" s="543">
        <v>0.95702000000000009</v>
      </c>
      <c r="AE162" s="543">
        <v>1.1112963649088139</v>
      </c>
    </row>
    <row r="163" spans="19:31" ht="13.5" customHeight="1" x14ac:dyDescent="0.2">
      <c r="S163" s="2"/>
      <c r="T163" s="2"/>
      <c r="U163" s="2"/>
      <c r="W163" s="541">
        <v>0.78500000000000003</v>
      </c>
      <c r="X163" s="541">
        <v>0.83499999999999996</v>
      </c>
      <c r="Y163" s="542">
        <f>(Y162+Y164)/2</f>
        <v>0.42949999999999999</v>
      </c>
      <c r="AB163" s="543">
        <f t="shared" si="39"/>
        <v>43</v>
      </c>
      <c r="AC163" s="543">
        <v>0.94293999999999978</v>
      </c>
      <c r="AD163" s="543">
        <v>0.94970666666666659</v>
      </c>
      <c r="AE163" s="543">
        <v>1.1110543939888924</v>
      </c>
    </row>
    <row r="164" spans="19:31" ht="13.5" customHeight="1" x14ac:dyDescent="0.2">
      <c r="S164" s="2"/>
      <c r="T164" s="2"/>
      <c r="U164" s="2"/>
      <c r="W164" s="541">
        <v>0.79</v>
      </c>
      <c r="X164" s="541">
        <v>0.84</v>
      </c>
      <c r="Y164" s="542">
        <v>0.442</v>
      </c>
      <c r="AB164" s="543">
        <f t="shared" si="39"/>
        <v>44</v>
      </c>
      <c r="AC164" s="543">
        <v>0.93546666666666667</v>
      </c>
      <c r="AD164" s="543">
        <v>0.94183999999999979</v>
      </c>
      <c r="AE164" s="543">
        <v>1.1114531645569621</v>
      </c>
    </row>
    <row r="165" spans="19:31" ht="13.5" customHeight="1" x14ac:dyDescent="0.2">
      <c r="S165" s="2"/>
      <c r="T165" s="2"/>
      <c r="U165" s="2"/>
      <c r="W165" s="541">
        <v>0.79500000000000004</v>
      </c>
      <c r="X165" s="541">
        <v>0.84499999999999997</v>
      </c>
      <c r="Y165" s="542">
        <f>(Y164+Y166)/2</f>
        <v>0.45450000000000002</v>
      </c>
      <c r="AB165" s="543">
        <f t="shared" si="39"/>
        <v>45</v>
      </c>
      <c r="AC165" s="543">
        <v>0.92799333333333356</v>
      </c>
      <c r="AD165" s="543">
        <v>0.93343333333333312</v>
      </c>
      <c r="AE165" s="543">
        <v>1.112543938937431</v>
      </c>
    </row>
    <row r="166" spans="19:31" ht="13.5" customHeight="1" x14ac:dyDescent="0.2">
      <c r="S166" s="2"/>
      <c r="T166" s="2"/>
      <c r="U166" s="2"/>
      <c r="W166" s="541">
        <v>0.8</v>
      </c>
      <c r="X166" s="541">
        <v>0.85</v>
      </c>
      <c r="Y166" s="542">
        <v>0.46700000000000003</v>
      </c>
      <c r="AB166" s="543">
        <f t="shared" si="39"/>
        <v>46</v>
      </c>
      <c r="AC166" s="543">
        <v>0.92052666666666694</v>
      </c>
      <c r="AD166" s="543">
        <v>0.92440666666666649</v>
      </c>
      <c r="AE166" s="543">
        <v>1.1144758337649918</v>
      </c>
    </row>
    <row r="167" spans="19:31" ht="13.5" customHeight="1" x14ac:dyDescent="0.2">
      <c r="S167" s="2"/>
      <c r="T167" s="2"/>
      <c r="U167" s="2"/>
      <c r="W167" s="541">
        <v>0.80500000000000005</v>
      </c>
      <c r="X167" s="541">
        <v>0.85499999999999998</v>
      </c>
      <c r="Y167" s="542">
        <f>(Y166+Y168)/2</f>
        <v>0.47950000000000004</v>
      </c>
      <c r="AB167" s="543">
        <f t="shared" si="39"/>
        <v>47</v>
      </c>
      <c r="AC167" s="543">
        <v>0.91305999999999987</v>
      </c>
      <c r="AD167" s="543">
        <v>0.91483333333333339</v>
      </c>
      <c r="AE167" s="543">
        <v>1.1170845434967303</v>
      </c>
    </row>
    <row r="168" spans="19:31" ht="13.5" customHeight="1" x14ac:dyDescent="0.2">
      <c r="S168" s="2"/>
      <c r="T168" s="2"/>
      <c r="U168" s="2"/>
      <c r="W168" s="541">
        <v>0.81</v>
      </c>
      <c r="X168" s="541">
        <v>0.86</v>
      </c>
      <c r="Y168" s="542">
        <v>0.49199999999999999</v>
      </c>
      <c r="AB168" s="543">
        <f t="shared" si="39"/>
        <v>48</v>
      </c>
      <c r="AC168" s="543">
        <v>0.90558666666666654</v>
      </c>
      <c r="AD168" s="543">
        <v>0.90470666666666666</v>
      </c>
      <c r="AE168" s="543">
        <v>1.1204569055036344</v>
      </c>
    </row>
    <row r="169" spans="19:31" ht="13.5" customHeight="1" x14ac:dyDescent="0.2">
      <c r="S169" s="2"/>
      <c r="T169" s="2"/>
      <c r="U169" s="2"/>
      <c r="W169" s="541">
        <v>0.81499999999999995</v>
      </c>
      <c r="X169" s="541">
        <v>0.86499999999999999</v>
      </c>
      <c r="Y169" s="542">
        <f>(Y168+Y170)/2</f>
        <v>0.50449999999999995</v>
      </c>
      <c r="AB169" s="543">
        <f t="shared" si="39"/>
        <v>49</v>
      </c>
      <c r="AC169" s="543">
        <v>0.89810000000000001</v>
      </c>
      <c r="AD169" s="543">
        <v>0.89427999999999985</v>
      </c>
      <c r="AE169" s="543">
        <v>1.1242835771599542</v>
      </c>
    </row>
    <row r="170" spans="19:31" ht="13.5" customHeight="1" x14ac:dyDescent="0.2">
      <c r="S170" s="2"/>
      <c r="T170" s="2"/>
      <c r="U170" s="2"/>
      <c r="W170" s="541">
        <v>0.82</v>
      </c>
      <c r="X170" s="541">
        <v>0.87</v>
      </c>
      <c r="Y170" s="542">
        <v>0.51700000000000002</v>
      </c>
      <c r="AB170" s="543">
        <f t="shared" si="39"/>
        <v>50</v>
      </c>
      <c r="AC170" s="543">
        <v>0.89062666666666701</v>
      </c>
      <c r="AD170" s="543">
        <v>0.88383333333333325</v>
      </c>
      <c r="AE170" s="543">
        <v>1.128171048829818</v>
      </c>
    </row>
    <row r="171" spans="19:31" ht="13.5" customHeight="1" x14ac:dyDescent="0.2">
      <c r="S171" s="2"/>
      <c r="T171" s="2"/>
      <c r="U171" s="2"/>
      <c r="W171" s="541">
        <v>0.82499999999999996</v>
      </c>
      <c r="X171" s="541">
        <v>0.875</v>
      </c>
      <c r="Y171" s="542">
        <f>(Y170+Y172)/2</f>
        <v>0.53350000000000009</v>
      </c>
      <c r="AB171" s="543">
        <f t="shared" si="39"/>
        <v>51</v>
      </c>
      <c r="AC171" s="543">
        <v>0.88318000000000041</v>
      </c>
      <c r="AD171" s="543">
        <v>0.87341333333333349</v>
      </c>
      <c r="AE171" s="543">
        <v>1.1322498710921833</v>
      </c>
    </row>
    <row r="172" spans="19:31" ht="13.5" customHeight="1" x14ac:dyDescent="0.2">
      <c r="S172" s="2"/>
      <c r="T172" s="2"/>
      <c r="U172" s="2"/>
      <c r="W172" s="541">
        <v>0.83</v>
      </c>
      <c r="X172" s="541">
        <v>0.88</v>
      </c>
      <c r="Y172" s="542">
        <v>0.55000000000000004</v>
      </c>
      <c r="AB172" s="543">
        <f t="shared" si="39"/>
        <v>52</v>
      </c>
      <c r="AC172" s="543">
        <v>0.87570666666666641</v>
      </c>
      <c r="AD172" s="543">
        <v>0.86297333333333315</v>
      </c>
      <c r="AE172" s="543">
        <v>1.1364118293006173</v>
      </c>
    </row>
    <row r="173" spans="19:31" ht="13.5" customHeight="1" x14ac:dyDescent="0.2">
      <c r="S173" s="2"/>
      <c r="T173" s="2"/>
      <c r="U173" s="2"/>
      <c r="W173" s="541">
        <v>0.83499999999999996</v>
      </c>
      <c r="X173" s="541">
        <v>0.88500000000000001</v>
      </c>
      <c r="Y173" s="542">
        <f>(Y172+Y174)/2</f>
        <v>0.5665</v>
      </c>
      <c r="AB173" s="547">
        <f t="shared" si="39"/>
        <v>53</v>
      </c>
      <c r="AC173" s="547">
        <v>0.86822666666666659</v>
      </c>
      <c r="AD173" s="547">
        <v>0.85254000000000008</v>
      </c>
      <c r="AE173" s="547">
        <v>1.1405836539363798</v>
      </c>
    </row>
    <row r="174" spans="19:31" ht="13.5" customHeight="1" x14ac:dyDescent="0.2">
      <c r="S174" s="2"/>
      <c r="T174" s="2"/>
      <c r="U174" s="2"/>
      <c r="W174" s="541">
        <v>0.84</v>
      </c>
      <c r="X174" s="541">
        <v>0.89</v>
      </c>
      <c r="Y174" s="542">
        <v>0.58299999999999996</v>
      </c>
      <c r="AB174" s="543">
        <f t="shared" si="39"/>
        <v>54</v>
      </c>
      <c r="AC174" s="543">
        <v>0.86075333333333337</v>
      </c>
      <c r="AD174" s="543">
        <v>0.84210000000000007</v>
      </c>
      <c r="AE174" s="543">
        <v>1.1449485648380675</v>
      </c>
    </row>
    <row r="175" spans="19:31" ht="13.5" customHeight="1" x14ac:dyDescent="0.2">
      <c r="S175" s="2"/>
      <c r="T175" s="2"/>
      <c r="U175" s="2"/>
      <c r="W175" s="541">
        <v>0.85</v>
      </c>
      <c r="X175" s="541">
        <v>0.89500000000000002</v>
      </c>
      <c r="Y175" s="542">
        <f>(Y174+Y176)/2</f>
        <v>0.6</v>
      </c>
      <c r="AB175" s="543">
        <f t="shared" si="39"/>
        <v>55</v>
      </c>
      <c r="AC175" s="543">
        <v>0.85327333333333366</v>
      </c>
      <c r="AD175" s="543">
        <v>0.83167333333333338</v>
      </c>
      <c r="AE175" s="543">
        <v>1.149373156342183</v>
      </c>
    </row>
    <row r="176" spans="19:31" ht="13.5" customHeight="1" x14ac:dyDescent="0.2">
      <c r="S176" s="2"/>
      <c r="T176" s="2"/>
      <c r="U176" s="2"/>
      <c r="W176" s="541">
        <v>0.86</v>
      </c>
      <c r="X176" s="541">
        <v>0.9</v>
      </c>
      <c r="Y176" s="542">
        <v>0.61699999999999999</v>
      </c>
      <c r="AB176" s="543">
        <f t="shared" si="39"/>
        <v>56</v>
      </c>
      <c r="AC176" s="543">
        <v>0.84582666666666695</v>
      </c>
      <c r="AD176" s="543">
        <v>0.82123333333333326</v>
      </c>
      <c r="AE176" s="543">
        <v>1.1540007674456849</v>
      </c>
    </row>
    <row r="177" spans="19:31" ht="13.5" customHeight="1" x14ac:dyDescent="0.2">
      <c r="S177" s="2"/>
      <c r="T177" s="2"/>
      <c r="U177" s="2"/>
      <c r="W177" s="541">
        <v>0.86499999999999999</v>
      </c>
      <c r="X177" s="541">
        <v>0.90500000000000003</v>
      </c>
      <c r="Y177" s="542">
        <f>(Y176+Y178)/2</f>
        <v>0.63349999999999995</v>
      </c>
      <c r="AB177" s="543">
        <f t="shared" si="39"/>
        <v>57</v>
      </c>
      <c r="AC177" s="543">
        <v>0.83835333333333328</v>
      </c>
      <c r="AD177" s="543">
        <v>0.81081333333333327</v>
      </c>
      <c r="AE177" s="543">
        <v>1.1587505658669082</v>
      </c>
    </row>
    <row r="178" spans="19:31" ht="13.5" customHeight="1" x14ac:dyDescent="0.2">
      <c r="S178" s="2"/>
      <c r="T178" s="2"/>
      <c r="U178" s="2"/>
      <c r="W178" s="541">
        <v>0.87</v>
      </c>
      <c r="X178" s="541">
        <v>0.91</v>
      </c>
      <c r="Y178" s="542">
        <v>0.65</v>
      </c>
      <c r="AB178" s="543">
        <f t="shared" si="39"/>
        <v>58</v>
      </c>
      <c r="AC178" s="543">
        <v>0.83087999999999995</v>
      </c>
      <c r="AD178" s="543">
        <v>0.80037333333333338</v>
      </c>
      <c r="AE178" s="543">
        <v>1.163505876020454</v>
      </c>
    </row>
    <row r="179" spans="19:31" ht="13.5" customHeight="1" x14ac:dyDescent="0.2">
      <c r="S179" s="2"/>
      <c r="T179" s="2"/>
      <c r="U179" s="2"/>
      <c r="W179" s="541">
        <v>0.875</v>
      </c>
      <c r="X179" s="541">
        <v>0.91500000000000004</v>
      </c>
      <c r="Y179" s="542">
        <f>(Y178+Y180)/2</f>
        <v>0.66650000000000009</v>
      </c>
      <c r="AB179" s="543">
        <f t="shared" si="39"/>
        <v>59</v>
      </c>
      <c r="AC179" s="543">
        <v>0.82340666666666673</v>
      </c>
      <c r="AD179" s="543">
        <v>0.78993999999999986</v>
      </c>
      <c r="AE179" s="543">
        <v>1.1684532380495263</v>
      </c>
    </row>
    <row r="180" spans="19:31" ht="13.5" customHeight="1" x14ac:dyDescent="0.2">
      <c r="S180" s="2"/>
      <c r="T180" s="2"/>
      <c r="U180" s="2"/>
      <c r="W180" s="541">
        <v>0.88</v>
      </c>
      <c r="X180" s="541">
        <v>0.92</v>
      </c>
      <c r="Y180" s="542">
        <v>0.68300000000000005</v>
      </c>
      <c r="AB180" s="543">
        <f t="shared" si="39"/>
        <v>60</v>
      </c>
      <c r="AC180" s="543">
        <v>0.8159200000000002</v>
      </c>
      <c r="AD180" s="543">
        <v>0.77950666666666668</v>
      </c>
      <c r="AE180" s="543">
        <v>1.1734643561566638</v>
      </c>
    </row>
    <row r="181" spans="19:31" ht="13.5" customHeight="1" x14ac:dyDescent="0.2">
      <c r="S181" s="2"/>
      <c r="T181" s="2"/>
      <c r="U181" s="2"/>
      <c r="W181" s="541">
        <v>0.89</v>
      </c>
      <c r="X181" s="541">
        <v>0.92500000000000004</v>
      </c>
      <c r="Y181" s="542">
        <f>(Y180+Y182)/2</f>
        <v>0.70300000000000007</v>
      </c>
      <c r="AB181" s="543">
        <f t="shared" si="39"/>
        <v>61</v>
      </c>
      <c r="AC181" s="543">
        <v>0.80848000000000042</v>
      </c>
      <c r="AD181" s="543">
        <v>0.76907999999999987</v>
      </c>
      <c r="AE181" s="543">
        <v>1.1788362557794643</v>
      </c>
    </row>
    <row r="182" spans="19:31" ht="13.5" customHeight="1" x14ac:dyDescent="0.2">
      <c r="S182" s="2"/>
      <c r="T182" s="2"/>
      <c r="U182" s="2"/>
      <c r="W182" s="541">
        <v>0.9</v>
      </c>
      <c r="X182" s="541">
        <v>0.93</v>
      </c>
      <c r="Y182" s="542">
        <v>0.72299999999999998</v>
      </c>
      <c r="AB182" s="543">
        <f t="shared" si="39"/>
        <v>62</v>
      </c>
      <c r="AC182" s="543">
        <v>0.80101333333333313</v>
      </c>
      <c r="AD182" s="543">
        <v>0.75864666666666669</v>
      </c>
      <c r="AE182" s="543">
        <v>1.1842077975943592</v>
      </c>
    </row>
    <row r="183" spans="19:31" ht="13.5" customHeight="1" x14ac:dyDescent="0.2">
      <c r="S183" s="2"/>
      <c r="T183" s="2"/>
      <c r="U183" s="2"/>
      <c r="W183" s="541">
        <v>0.90500000000000003</v>
      </c>
      <c r="X183" s="541">
        <v>0.93500000000000005</v>
      </c>
      <c r="Y183" s="542">
        <f>(Y182+Y184)/2</f>
        <v>0.74299999999999999</v>
      </c>
      <c r="AB183" s="543">
        <f t="shared" si="39"/>
        <v>63</v>
      </c>
      <c r="AC183" s="543">
        <v>0.79351999999999989</v>
      </c>
      <c r="AD183" s="543">
        <v>0.74820666666666658</v>
      </c>
      <c r="AE183" s="543">
        <v>1.1897572832152272</v>
      </c>
    </row>
    <row r="184" spans="19:31" ht="13.5" customHeight="1" x14ac:dyDescent="0.2">
      <c r="S184" s="2"/>
      <c r="T184" s="2"/>
      <c r="U184" s="2"/>
      <c r="W184" s="541">
        <v>0.91</v>
      </c>
      <c r="X184" s="541">
        <v>0.94</v>
      </c>
      <c r="Y184" s="542">
        <v>0.76300000000000001</v>
      </c>
      <c r="AB184" s="543">
        <f t="shared" si="39"/>
        <v>64</v>
      </c>
      <c r="AC184" s="543">
        <v>0.78606000000000009</v>
      </c>
      <c r="AD184" s="543">
        <v>0.73778000000000021</v>
      </c>
      <c r="AE184" s="543">
        <v>1.1953993761866015</v>
      </c>
    </row>
    <row r="185" spans="19:31" x14ac:dyDescent="0.2">
      <c r="S185" s="2"/>
      <c r="T185" s="2"/>
      <c r="U185" s="2"/>
      <c r="W185" s="541">
        <v>0.91500000000000004</v>
      </c>
      <c r="X185" s="541">
        <v>0.94499999999999995</v>
      </c>
      <c r="Y185" s="542">
        <f>(Y184+Y186)/2</f>
        <v>0.78150000000000008</v>
      </c>
      <c r="AB185" s="543">
        <f t="shared" si="39"/>
        <v>65</v>
      </c>
      <c r="AC185" s="543">
        <v>0.77857333333333356</v>
      </c>
      <c r="AD185" s="543">
        <v>0.7273400000000001</v>
      </c>
      <c r="AE185" s="543">
        <v>1.2012690525750354</v>
      </c>
    </row>
    <row r="186" spans="19:31" x14ac:dyDescent="0.2">
      <c r="S186" s="2"/>
      <c r="T186" s="2"/>
      <c r="U186" s="2"/>
      <c r="W186" s="541">
        <v>0.92</v>
      </c>
      <c r="X186" s="541">
        <v>0.95</v>
      </c>
      <c r="Y186" s="542">
        <v>0.8</v>
      </c>
      <c r="AB186" s="543">
        <f t="shared" si="39"/>
        <v>66</v>
      </c>
      <c r="AC186" s="543">
        <v>0.77111999999999981</v>
      </c>
      <c r="AD186" s="543">
        <v>0.71691333333333318</v>
      </c>
      <c r="AE186" s="543">
        <v>1.2073533567142596</v>
      </c>
    </row>
    <row r="187" spans="19:31" x14ac:dyDescent="0.2">
      <c r="S187" s="2"/>
      <c r="T187" s="2"/>
      <c r="U187" s="2"/>
      <c r="W187" s="541">
        <v>0.92500000000000004</v>
      </c>
      <c r="X187" s="541">
        <v>0.95499999999999996</v>
      </c>
      <c r="Y187" s="542">
        <f>(Y186+Y188)/2</f>
        <v>0.82000000000000006</v>
      </c>
      <c r="AB187" s="543">
        <f t="shared" si="39"/>
        <v>67</v>
      </c>
      <c r="AC187" s="543">
        <v>0.76363999999999999</v>
      </c>
      <c r="AD187" s="543">
        <v>0.70647333333333351</v>
      </c>
      <c r="AE187" s="543">
        <v>1.2135534089226061</v>
      </c>
    </row>
    <row r="188" spans="19:31" x14ac:dyDescent="0.2">
      <c r="S188" s="2"/>
      <c r="T188" s="2"/>
      <c r="U188" s="2"/>
      <c r="W188" s="541">
        <v>0.93</v>
      </c>
      <c r="X188" s="541">
        <v>0.96</v>
      </c>
      <c r="Y188" s="542">
        <v>0.84</v>
      </c>
      <c r="AB188" s="543">
        <f t="shared" si="39"/>
        <v>68</v>
      </c>
      <c r="AC188" s="543">
        <v>0.75614666666666663</v>
      </c>
      <c r="AD188" s="543">
        <v>0.69604666666666648</v>
      </c>
      <c r="AE188" s="543">
        <v>1.2199305996774352</v>
      </c>
    </row>
    <row r="189" spans="19:31" x14ac:dyDescent="0.2">
      <c r="S189" s="2"/>
      <c r="T189" s="2"/>
      <c r="U189" s="2"/>
      <c r="W189" s="541">
        <v>0.93500000000000005</v>
      </c>
      <c r="X189" s="541">
        <v>0.96499999999999997</v>
      </c>
      <c r="Y189" s="542">
        <f>(Y188+Y190)/2</f>
        <v>0.86149999999999993</v>
      </c>
      <c r="AB189" s="543">
        <f t="shared" si="39"/>
        <v>69</v>
      </c>
      <c r="AC189" s="543">
        <v>0.74848000000000003</v>
      </c>
      <c r="AD189" s="543">
        <v>0.6856066666666667</v>
      </c>
      <c r="AE189" s="543">
        <v>1.2265346598513311</v>
      </c>
    </row>
    <row r="190" spans="19:31" x14ac:dyDescent="0.2">
      <c r="S190" s="2"/>
      <c r="T190" s="2"/>
      <c r="U190" s="2"/>
      <c r="W190" s="541">
        <v>0.94</v>
      </c>
      <c r="X190" s="541">
        <v>0.97</v>
      </c>
      <c r="Y190" s="542">
        <v>0.88300000000000001</v>
      </c>
      <c r="AB190" s="543">
        <f t="shared" ref="AB190:AB220" si="40">+AB189+1</f>
        <v>70</v>
      </c>
      <c r="AC190" s="543">
        <v>0.74054000000000031</v>
      </c>
      <c r="AD190" s="543">
        <v>0.67517999999999978</v>
      </c>
      <c r="AE190" s="543">
        <v>1.2329759397536539</v>
      </c>
    </row>
    <row r="191" spans="19:31" x14ac:dyDescent="0.2">
      <c r="S191" s="2"/>
      <c r="T191" s="2"/>
      <c r="U191" s="2"/>
      <c r="W191" s="541">
        <v>0.95</v>
      </c>
      <c r="X191" s="541">
        <v>0.97499999999999998</v>
      </c>
      <c r="Y191" s="542">
        <f>(Y190+Y192)/2</f>
        <v>0.9</v>
      </c>
      <c r="AB191" s="543">
        <f t="shared" si="40"/>
        <v>71</v>
      </c>
      <c r="AC191" s="543">
        <v>0.73209999999999986</v>
      </c>
      <c r="AD191" s="543">
        <v>0.66474666666666671</v>
      </c>
      <c r="AE191" s="543">
        <v>1.2390779571164863</v>
      </c>
    </row>
    <row r="192" spans="19:31" x14ac:dyDescent="0.2">
      <c r="S192" s="2"/>
      <c r="T192" s="2"/>
      <c r="U192" s="2"/>
      <c r="W192" s="541">
        <v>0.96</v>
      </c>
      <c r="X192" s="541">
        <v>0.98</v>
      </c>
      <c r="Y192" s="542">
        <v>0.91700000000000004</v>
      </c>
      <c r="AB192" s="543">
        <f t="shared" si="40"/>
        <v>72</v>
      </c>
      <c r="AC192" s="543">
        <v>0.72298666666666656</v>
      </c>
      <c r="AD192" s="543">
        <v>0.65431333333333319</v>
      </c>
      <c r="AE192" s="543">
        <v>1.2441673809709342</v>
      </c>
    </row>
    <row r="193" spans="19:31" x14ac:dyDescent="0.2">
      <c r="S193" s="2"/>
      <c r="T193" s="2"/>
      <c r="U193" s="2"/>
      <c r="W193" s="541">
        <v>0.97</v>
      </c>
      <c r="X193" s="541">
        <v>0.98499999999999999</v>
      </c>
      <c r="Y193" s="542">
        <f>(Y192+Y194)/2</f>
        <v>0.9385</v>
      </c>
      <c r="AB193" s="543">
        <f t="shared" si="40"/>
        <v>73</v>
      </c>
      <c r="AC193" s="543">
        <v>0.71315333333333342</v>
      </c>
      <c r="AD193" s="543">
        <v>0.64387333333333341</v>
      </c>
      <c r="AE193" s="543">
        <v>1.2480703588671238</v>
      </c>
    </row>
    <row r="194" spans="19:31" x14ac:dyDescent="0.2">
      <c r="S194" s="2"/>
      <c r="T194" s="2"/>
      <c r="U194" s="2"/>
      <c r="W194" s="541">
        <v>0.98</v>
      </c>
      <c r="X194" s="541">
        <v>0.99</v>
      </c>
      <c r="Y194" s="542">
        <v>0.96</v>
      </c>
      <c r="AB194" s="543">
        <f t="shared" si="40"/>
        <v>74</v>
      </c>
      <c r="AC194" s="543">
        <v>0.70267333333333326</v>
      </c>
      <c r="AD194" s="543">
        <v>0.63344000000000011</v>
      </c>
      <c r="AE194" s="543">
        <v>1.2510001212268156</v>
      </c>
    </row>
    <row r="195" spans="19:31" x14ac:dyDescent="0.2">
      <c r="S195" s="2"/>
      <c r="T195" s="2"/>
      <c r="U195" s="2"/>
      <c r="W195" s="541">
        <v>0.99</v>
      </c>
      <c r="X195" s="541">
        <v>0.995</v>
      </c>
      <c r="Y195" s="542">
        <f>(Y194+Y196)/2</f>
        <v>0.98</v>
      </c>
      <c r="AB195" s="543">
        <f t="shared" si="40"/>
        <v>75</v>
      </c>
      <c r="AC195" s="543">
        <v>0.69154666666666664</v>
      </c>
      <c r="AD195" s="543">
        <v>0.62295333333333336</v>
      </c>
      <c r="AE195" s="543">
        <v>1.253106215413988</v>
      </c>
    </row>
    <row r="196" spans="19:31" x14ac:dyDescent="0.2">
      <c r="S196" s="2"/>
      <c r="T196" s="2"/>
      <c r="U196" s="2"/>
      <c r="W196" s="541">
        <v>1</v>
      </c>
      <c r="X196" s="541">
        <v>1</v>
      </c>
      <c r="Y196" s="542">
        <v>1</v>
      </c>
      <c r="AB196" s="543">
        <f t="shared" si="40"/>
        <v>76</v>
      </c>
      <c r="AC196" s="543">
        <v>0.67972666666666681</v>
      </c>
      <c r="AD196" s="543">
        <v>0.6122200000000001</v>
      </c>
      <c r="AE196" s="543">
        <v>1.2550517640848169</v>
      </c>
    </row>
    <row r="197" spans="19:31" x14ac:dyDescent="0.2">
      <c r="S197" s="2"/>
      <c r="T197" s="2"/>
      <c r="U197" s="2"/>
      <c r="W197" s="541">
        <v>1.0249999999999999</v>
      </c>
      <c r="X197" s="541">
        <v>1</v>
      </c>
      <c r="Y197" s="542">
        <f>(Y196+Y198)/2</f>
        <v>1.125</v>
      </c>
      <c r="AB197" s="543">
        <f t="shared" si="40"/>
        <v>77</v>
      </c>
      <c r="AC197" s="543">
        <v>0.66722000000000026</v>
      </c>
      <c r="AD197" s="543">
        <v>0.60113333333333341</v>
      </c>
      <c r="AE197" s="543">
        <v>1.2568812622365542</v>
      </c>
    </row>
    <row r="198" spans="19:31" x14ac:dyDescent="0.2">
      <c r="S198" s="2"/>
      <c r="T198" s="2"/>
      <c r="U198" s="2"/>
      <c r="W198" s="541">
        <v>1.05</v>
      </c>
      <c r="X198" s="541">
        <v>1</v>
      </c>
      <c r="Y198" s="542">
        <v>1.25</v>
      </c>
      <c r="AB198" s="543">
        <f t="shared" si="40"/>
        <v>78</v>
      </c>
      <c r="AC198" s="543">
        <v>0.65406000000000009</v>
      </c>
      <c r="AD198" s="543">
        <v>0.58963333333333345</v>
      </c>
      <c r="AE198" s="543">
        <v>1.2589659990684678</v>
      </c>
    </row>
    <row r="199" spans="19:31" x14ac:dyDescent="0.2">
      <c r="S199" s="2"/>
      <c r="T199" s="2"/>
      <c r="U199" s="2"/>
      <c r="W199" s="541">
        <v>1.075</v>
      </c>
      <c r="X199" s="541">
        <v>1</v>
      </c>
      <c r="Y199" s="542">
        <f>(Y198+Y200)/2</f>
        <v>1.375</v>
      </c>
      <c r="AB199" s="543">
        <f t="shared" si="40"/>
        <v>79</v>
      </c>
      <c r="AC199" s="543">
        <v>0.64022000000000001</v>
      </c>
      <c r="AD199" s="543">
        <v>0.57755999999999996</v>
      </c>
      <c r="AE199" s="543">
        <v>1.2613645784397711</v>
      </c>
    </row>
    <row r="200" spans="19:31" x14ac:dyDescent="0.2">
      <c r="S200" s="2"/>
      <c r="T200" s="2"/>
      <c r="U200" s="2"/>
      <c r="W200" s="541">
        <v>1.1000000000000001</v>
      </c>
      <c r="X200" s="541">
        <v>1</v>
      </c>
      <c r="Y200" s="542">
        <v>1.5</v>
      </c>
      <c r="AB200" s="543">
        <f t="shared" si="40"/>
        <v>80</v>
      </c>
      <c r="AC200" s="543">
        <v>0.62569333333333355</v>
      </c>
      <c r="AD200" s="543">
        <v>0.56459999999999999</v>
      </c>
      <c r="AE200" s="543">
        <v>1.2644095721694035</v>
      </c>
    </row>
    <row r="201" spans="19:31" x14ac:dyDescent="0.2">
      <c r="S201" s="2"/>
      <c r="T201" s="2"/>
      <c r="U201" s="2"/>
      <c r="W201" s="541">
        <v>1.125</v>
      </c>
      <c r="X201" s="541">
        <v>1</v>
      </c>
      <c r="Y201" s="542">
        <f>(Y200+Y202)/2</f>
        <v>1.625</v>
      </c>
      <c r="AB201" s="543">
        <f t="shared" si="40"/>
        <v>81</v>
      </c>
      <c r="AC201" s="543">
        <v>0.61051333333333346</v>
      </c>
      <c r="AD201" s="543">
        <v>0.55079333333333336</v>
      </c>
      <c r="AE201" s="543">
        <v>1.2682621473096032</v>
      </c>
    </row>
    <row r="202" spans="19:31" x14ac:dyDescent="0.2">
      <c r="S202" s="2"/>
      <c r="T202" s="2"/>
      <c r="U202" s="2"/>
      <c r="W202" s="541">
        <v>1.1499999999999999</v>
      </c>
      <c r="X202" s="541">
        <v>1</v>
      </c>
      <c r="Y202" s="542">
        <v>1.75</v>
      </c>
      <c r="AB202" s="543">
        <f t="shared" si="40"/>
        <v>82</v>
      </c>
      <c r="AC202" s="543">
        <v>0.59467333333333328</v>
      </c>
      <c r="AD202" s="543">
        <v>0.53613333333333335</v>
      </c>
      <c r="AE202" s="543">
        <v>1.2728311381550232</v>
      </c>
    </row>
    <row r="203" spans="19:31" x14ac:dyDescent="0.2">
      <c r="S203" s="2"/>
      <c r="T203" s="2"/>
      <c r="U203" s="2"/>
      <c r="W203" s="541">
        <v>1.175</v>
      </c>
      <c r="X203" s="541">
        <v>1</v>
      </c>
      <c r="Y203" s="542">
        <f>(Y202+Y204)/2</f>
        <v>1.925</v>
      </c>
      <c r="AB203" s="543">
        <f t="shared" si="40"/>
        <v>83</v>
      </c>
      <c r="AC203" s="543">
        <v>0.57811999999999997</v>
      </c>
      <c r="AD203" s="543">
        <v>0.52061333333333337</v>
      </c>
      <c r="AE203" s="543">
        <v>1.278199336045728</v>
      </c>
    </row>
    <row r="204" spans="19:31" ht="13.5" thickBot="1" x14ac:dyDescent="0.25">
      <c r="S204" s="2"/>
      <c r="T204" s="2"/>
      <c r="U204" s="2"/>
      <c r="W204" s="548">
        <v>1.2</v>
      </c>
      <c r="X204" s="548">
        <v>1</v>
      </c>
      <c r="Y204" s="549">
        <v>2.1</v>
      </c>
      <c r="AB204" s="543">
        <f t="shared" si="40"/>
        <v>84</v>
      </c>
      <c r="AC204" s="543">
        <v>0.56091333333333326</v>
      </c>
      <c r="AD204" s="543">
        <v>0.50424000000000013</v>
      </c>
      <c r="AE204" s="543">
        <v>1.2845535346685719</v>
      </c>
    </row>
    <row r="205" spans="19:31" x14ac:dyDescent="0.2">
      <c r="S205" s="2"/>
      <c r="T205" s="2"/>
      <c r="U205" s="2"/>
      <c r="W205" s="3"/>
      <c r="X205" s="3"/>
      <c r="AB205" s="543">
        <f t="shared" si="40"/>
        <v>85</v>
      </c>
      <c r="AC205" s="543">
        <v>0.54305999999999999</v>
      </c>
      <c r="AD205" s="543">
        <v>0.48702000000000001</v>
      </c>
      <c r="AE205" s="543">
        <v>1.2920853019449687</v>
      </c>
    </row>
    <row r="206" spans="19:31" x14ac:dyDescent="0.2">
      <c r="S206" s="2"/>
      <c r="T206" s="2"/>
      <c r="U206" s="2"/>
      <c r="W206" s="3"/>
      <c r="X206" s="3"/>
      <c r="AB206" s="543">
        <f t="shared" si="40"/>
        <v>86</v>
      </c>
      <c r="AC206" s="543">
        <v>0.52452000000000021</v>
      </c>
      <c r="AD206" s="543">
        <v>0.46892666666666671</v>
      </c>
      <c r="AE206" s="543">
        <v>1.3010383757402817</v>
      </c>
    </row>
    <row r="207" spans="19:31" x14ac:dyDescent="0.2">
      <c r="S207" s="2"/>
      <c r="T207" s="2"/>
      <c r="U207" s="2"/>
      <c r="W207" s="3"/>
      <c r="X207" s="3"/>
      <c r="AB207" s="543">
        <f t="shared" si="40"/>
        <v>87</v>
      </c>
      <c r="AC207" s="543">
        <v>0.50526666666666675</v>
      </c>
      <c r="AD207" s="543">
        <v>0.44996666666666674</v>
      </c>
      <c r="AE207" s="543">
        <v>1.3112839193787627</v>
      </c>
    </row>
    <row r="208" spans="19:31" x14ac:dyDescent="0.2">
      <c r="S208" s="2"/>
      <c r="T208" s="2"/>
      <c r="U208" s="2"/>
      <c r="W208" s="3"/>
      <c r="X208" s="3"/>
      <c r="AB208" s="543">
        <f t="shared" si="40"/>
        <v>88</v>
      </c>
      <c r="AC208" s="543">
        <v>0.48538666666666669</v>
      </c>
      <c r="AD208" s="543">
        <v>0.43015333333333339</v>
      </c>
      <c r="AE208" s="543">
        <v>1.3235485155153266</v>
      </c>
    </row>
    <row r="209" spans="19:31" x14ac:dyDescent="0.2">
      <c r="S209" s="2"/>
      <c r="T209" s="2"/>
      <c r="U209" s="2"/>
      <c r="W209" s="3"/>
      <c r="X209" s="3"/>
      <c r="AB209" s="543">
        <f t="shared" si="40"/>
        <v>89</v>
      </c>
      <c r="AC209" s="543">
        <v>0.46482666666666678</v>
      </c>
      <c r="AD209" s="543">
        <v>0.40950000000000003</v>
      </c>
      <c r="AE209" s="543">
        <v>1.3380581219216148</v>
      </c>
    </row>
    <row r="210" spans="19:31" x14ac:dyDescent="0.2">
      <c r="S210" s="2"/>
      <c r="T210" s="2"/>
      <c r="U210" s="2"/>
      <c r="W210" s="3"/>
      <c r="X210" s="3"/>
      <c r="AB210" s="543">
        <f t="shared" si="40"/>
        <v>90</v>
      </c>
      <c r="AC210" s="543">
        <v>0.44355999999999984</v>
      </c>
      <c r="AD210" s="543">
        <v>0.38796000000000003</v>
      </c>
      <c r="AE210" s="543">
        <v>1.3551693447282542</v>
      </c>
    </row>
    <row r="211" spans="19:31" x14ac:dyDescent="0.2">
      <c r="S211" s="2"/>
      <c r="T211" s="2"/>
      <c r="U211" s="2"/>
      <c r="W211" s="3"/>
      <c r="X211" s="3"/>
      <c r="AB211" s="543">
        <f t="shared" si="40"/>
        <v>91</v>
      </c>
      <c r="AC211" s="543">
        <v>0.42166666666666658</v>
      </c>
      <c r="AD211" s="543">
        <v>0.36556666666666665</v>
      </c>
      <c r="AE211" s="543">
        <v>1.3759891579196304</v>
      </c>
    </row>
    <row r="212" spans="19:31" x14ac:dyDescent="0.2">
      <c r="S212" s="2"/>
      <c r="T212" s="2"/>
      <c r="U212" s="2"/>
      <c r="W212" s="3"/>
      <c r="X212" s="3"/>
      <c r="AB212" s="543">
        <f t="shared" si="40"/>
        <v>92</v>
      </c>
      <c r="AC212" s="543">
        <v>0.39908666666666676</v>
      </c>
      <c r="AD212" s="543">
        <v>0.34232000000000001</v>
      </c>
      <c r="AE212" s="543">
        <v>1.4011394246077851</v>
      </c>
    </row>
    <row r="213" spans="19:31" x14ac:dyDescent="0.2">
      <c r="S213" s="2"/>
      <c r="T213" s="2"/>
      <c r="U213" s="2"/>
      <c r="W213" s="3"/>
      <c r="X213" s="3"/>
      <c r="AB213" s="543">
        <f t="shared" si="40"/>
        <v>93</v>
      </c>
      <c r="AC213" s="543">
        <v>0.37580666666666673</v>
      </c>
      <c r="AD213" s="543">
        <v>0.31820666666666669</v>
      </c>
      <c r="AE213" s="543">
        <v>1.4319365578245618</v>
      </c>
    </row>
    <row r="214" spans="19:31" x14ac:dyDescent="0.2">
      <c r="S214" s="2"/>
      <c r="T214" s="2"/>
      <c r="U214" s="2"/>
      <c r="W214" s="3"/>
      <c r="X214" s="3"/>
      <c r="AB214" s="543">
        <f t="shared" si="40"/>
        <v>94</v>
      </c>
      <c r="AC214" s="543">
        <v>0.35186666666666666</v>
      </c>
      <c r="AD214" s="543">
        <v>0.29325333333333331</v>
      </c>
      <c r="AE214" s="543">
        <v>1.4707371804591078</v>
      </c>
    </row>
    <row r="215" spans="19:31" x14ac:dyDescent="0.2">
      <c r="S215" s="2"/>
      <c r="T215" s="2"/>
      <c r="U215" s="2"/>
      <c r="W215" s="3"/>
      <c r="X215" s="3"/>
      <c r="AB215" s="543">
        <f t="shared" si="40"/>
        <v>95</v>
      </c>
      <c r="AC215" s="543">
        <v>0.32727333333333336</v>
      </c>
      <c r="AD215" s="543">
        <v>0.26742000000000005</v>
      </c>
      <c r="AE215" s="543">
        <v>1.5207004686233747</v>
      </c>
    </row>
    <row r="216" spans="19:31" x14ac:dyDescent="0.2">
      <c r="S216" s="2"/>
      <c r="T216" s="2"/>
      <c r="U216" s="2"/>
      <c r="W216" s="3"/>
      <c r="X216" s="3"/>
      <c r="AB216" s="543">
        <f t="shared" si="40"/>
        <v>96</v>
      </c>
      <c r="AC216" s="543">
        <v>0.30201999999999996</v>
      </c>
      <c r="AD216" s="543">
        <v>0.24073333333333338</v>
      </c>
      <c r="AE216" s="543">
        <v>1.5869203576627156</v>
      </c>
    </row>
    <row r="217" spans="19:31" x14ac:dyDescent="0.2">
      <c r="S217" s="2"/>
      <c r="T217" s="2"/>
      <c r="U217" s="2"/>
      <c r="W217" s="3"/>
      <c r="X217" s="3"/>
      <c r="AB217" s="543">
        <f t="shared" si="40"/>
        <v>97</v>
      </c>
      <c r="AC217" s="543">
        <v>0.27604000000000001</v>
      </c>
      <c r="AD217" s="543">
        <v>0.21318666666666664</v>
      </c>
      <c r="AE217" s="543">
        <v>1.6781728538627207</v>
      </c>
    </row>
    <row r="218" spans="19:31" x14ac:dyDescent="0.2">
      <c r="S218" s="2"/>
      <c r="T218" s="2"/>
      <c r="U218" s="2"/>
      <c r="W218" s="3"/>
      <c r="X218" s="3"/>
      <c r="AB218" s="543">
        <f t="shared" si="40"/>
        <v>98</v>
      </c>
      <c r="AC218" s="543">
        <v>0.24941999999999995</v>
      </c>
      <c r="AD218" s="543">
        <v>0.18476666666666666</v>
      </c>
      <c r="AE218" s="543">
        <v>1.8133024919416156</v>
      </c>
    </row>
    <row r="219" spans="19:31" x14ac:dyDescent="0.2">
      <c r="S219" s="2"/>
      <c r="T219" s="2"/>
      <c r="U219" s="2"/>
      <c r="W219" s="3"/>
      <c r="X219" s="3"/>
      <c r="AB219" s="543">
        <f t="shared" si="40"/>
        <v>99</v>
      </c>
      <c r="AC219" s="543">
        <v>0.22214666666666671</v>
      </c>
      <c r="AD219" s="543">
        <v>0.15553333333333333</v>
      </c>
      <c r="AE219" s="543">
        <v>2.0326986892910361</v>
      </c>
    </row>
    <row r="220" spans="19:31" x14ac:dyDescent="0.2">
      <c r="S220" s="2"/>
      <c r="T220" s="2"/>
      <c r="U220" s="2"/>
      <c r="W220" s="3"/>
      <c r="X220" s="3"/>
      <c r="AB220" s="543">
        <f t="shared" si="40"/>
        <v>100</v>
      </c>
      <c r="AC220" s="543">
        <v>0.19414666666666666</v>
      </c>
      <c r="AD220" s="543">
        <v>0.12540666666666667</v>
      </c>
      <c r="AE220" s="543">
        <v>2.4588411596705635</v>
      </c>
    </row>
  </sheetData>
  <sheetProtection algorithmName="SHA-512" hashValue="rJDveWgPHKwFCp0mHUZ0U/mAxjp3GbKUbaetQfQGKDcjB/9Q6/25T7ZOL+9uZizTVpl0ubxJntY0msGi/yl3Xg==" saltValue="oyR59JmeUaZQxcXnDDdpfQ==" spinCount="100000" sheet="1" objects="1" scenarios="1" formatCells="0" formatColumns="0" formatRows="0"/>
  <mergeCells count="188">
    <mergeCell ref="Q104:R104"/>
    <mergeCell ref="Q105:R105"/>
    <mergeCell ref="Q102:R102"/>
    <mergeCell ref="B103:C103"/>
    <mergeCell ref="Y47:AB47"/>
    <mergeCell ref="Y48:Z48"/>
    <mergeCell ref="AA48:AB48"/>
    <mergeCell ref="B116:C116"/>
    <mergeCell ref="B117:C117"/>
    <mergeCell ref="E104:F104"/>
    <mergeCell ref="G104:H104"/>
    <mergeCell ref="I104:J104"/>
    <mergeCell ref="B104:C104"/>
    <mergeCell ref="D105:J105"/>
    <mergeCell ref="B101:D101"/>
    <mergeCell ref="E101:F101"/>
    <mergeCell ref="G101:H101"/>
    <mergeCell ref="I101:J101"/>
    <mergeCell ref="M101:N101"/>
    <mergeCell ref="Q101:R101"/>
    <mergeCell ref="E100:F100"/>
    <mergeCell ref="G100:H100"/>
    <mergeCell ref="I100:J100"/>
    <mergeCell ref="M100:N100"/>
    <mergeCell ref="W121:AE121"/>
    <mergeCell ref="AB123:AD123"/>
    <mergeCell ref="B110:C110"/>
    <mergeCell ref="B111:C111"/>
    <mergeCell ref="B112:C112"/>
    <mergeCell ref="B113:C113"/>
    <mergeCell ref="B114:C114"/>
    <mergeCell ref="B115:C115"/>
    <mergeCell ref="Q106:R106"/>
    <mergeCell ref="B107:L107"/>
    <mergeCell ref="Q107:R107"/>
    <mergeCell ref="B108:C108"/>
    <mergeCell ref="P108:R108"/>
    <mergeCell ref="B109:C109"/>
    <mergeCell ref="Q100:R100"/>
    <mergeCell ref="E103:F103"/>
    <mergeCell ref="G103:H103"/>
    <mergeCell ref="I103:J103"/>
    <mergeCell ref="M103:N103"/>
    <mergeCell ref="P103:R103"/>
    <mergeCell ref="B102:D102"/>
    <mergeCell ref="E102:F102"/>
    <mergeCell ref="G102:H102"/>
    <mergeCell ref="I102:J102"/>
    <mergeCell ref="M102:N102"/>
    <mergeCell ref="C100:D100"/>
    <mergeCell ref="B96:D96"/>
    <mergeCell ref="E96:F96"/>
    <mergeCell ref="B98:L98"/>
    <mergeCell ref="P98:R98"/>
    <mergeCell ref="B99:D99"/>
    <mergeCell ref="E99:F99"/>
    <mergeCell ref="G99:H99"/>
    <mergeCell ref="I99:J99"/>
    <mergeCell ref="M99:O99"/>
    <mergeCell ref="Q99:R99"/>
    <mergeCell ref="G96:H96"/>
    <mergeCell ref="I96:J96"/>
    <mergeCell ref="K96:L96"/>
    <mergeCell ref="P97:R97"/>
    <mergeCell ref="G94:H94"/>
    <mergeCell ref="I94:J94"/>
    <mergeCell ref="K94:L94"/>
    <mergeCell ref="G95:H95"/>
    <mergeCell ref="I95:J95"/>
    <mergeCell ref="K95:L95"/>
    <mergeCell ref="M90:N90"/>
    <mergeCell ref="B95:D95"/>
    <mergeCell ref="E95:F95"/>
    <mergeCell ref="M95:N95"/>
    <mergeCell ref="P92:R92"/>
    <mergeCell ref="G93:H93"/>
    <mergeCell ref="I93:J93"/>
    <mergeCell ref="K93:L93"/>
    <mergeCell ref="M93:O93"/>
    <mergeCell ref="B86:C86"/>
    <mergeCell ref="M86:O86"/>
    <mergeCell ref="P86:R86"/>
    <mergeCell ref="J87:K87"/>
    <mergeCell ref="M87:N87"/>
    <mergeCell ref="O87:O89"/>
    <mergeCell ref="P87:R87"/>
    <mergeCell ref="B89:F89"/>
    <mergeCell ref="K89:L89"/>
    <mergeCell ref="B87:G87"/>
    <mergeCell ref="C88:K88"/>
    <mergeCell ref="B93:E93"/>
    <mergeCell ref="N92:O92"/>
    <mergeCell ref="B83:C83"/>
    <mergeCell ref="M83:N83"/>
    <mergeCell ref="B84:C84"/>
    <mergeCell ref="M84:N84"/>
    <mergeCell ref="B85:C85"/>
    <mergeCell ref="P85:Q85"/>
    <mergeCell ref="B79:L79"/>
    <mergeCell ref="P79:Q79"/>
    <mergeCell ref="B81:L81"/>
    <mergeCell ref="M81:O81"/>
    <mergeCell ref="B82:C82"/>
    <mergeCell ref="F82:G82"/>
    <mergeCell ref="I82:J82"/>
    <mergeCell ref="M82:N82"/>
    <mergeCell ref="P82:R82"/>
    <mergeCell ref="P76:Q76"/>
    <mergeCell ref="B77:C77"/>
    <mergeCell ref="M77:O77"/>
    <mergeCell ref="P77:Q77"/>
    <mergeCell ref="B78:C78"/>
    <mergeCell ref="M78:O78"/>
    <mergeCell ref="P78:Q78"/>
    <mergeCell ref="M74:N74"/>
    <mergeCell ref="O74:O76"/>
    <mergeCell ref="B75:K75"/>
    <mergeCell ref="M75:N75"/>
    <mergeCell ref="B76:C76"/>
    <mergeCell ref="M76:N76"/>
    <mergeCell ref="B71:E71"/>
    <mergeCell ref="Q71:R71"/>
    <mergeCell ref="B72:E72"/>
    <mergeCell ref="D73:E73"/>
    <mergeCell ref="J73:K73"/>
    <mergeCell ref="M73:O73"/>
    <mergeCell ref="P73:R73"/>
    <mergeCell ref="B68:L68"/>
    <mergeCell ref="B69:E69"/>
    <mergeCell ref="F69:K69"/>
    <mergeCell ref="B70:E70"/>
    <mergeCell ref="N70:O70"/>
    <mergeCell ref="Q70:R70"/>
    <mergeCell ref="B63:E63"/>
    <mergeCell ref="F63:K63"/>
    <mergeCell ref="B64:D64"/>
    <mergeCell ref="B65:D65"/>
    <mergeCell ref="B66:D66"/>
    <mergeCell ref="B67:F67"/>
    <mergeCell ref="B56:C56"/>
    <mergeCell ref="B57:C57"/>
    <mergeCell ref="B58:C58"/>
    <mergeCell ref="B59:C59"/>
    <mergeCell ref="B60:C60"/>
    <mergeCell ref="B61:L61"/>
    <mergeCell ref="B49:C49"/>
    <mergeCell ref="B50:C50"/>
    <mergeCell ref="B51:L51"/>
    <mergeCell ref="B53:K53"/>
    <mergeCell ref="B54:C54"/>
    <mergeCell ref="B55:C55"/>
    <mergeCell ref="B47:K47"/>
    <mergeCell ref="N47:P47"/>
    <mergeCell ref="Q47:R47"/>
    <mergeCell ref="B52:F52"/>
    <mergeCell ref="G52:L52"/>
    <mergeCell ref="B48:C48"/>
    <mergeCell ref="T48:U48"/>
    <mergeCell ref="M42:R42"/>
    <mergeCell ref="M43:O43"/>
    <mergeCell ref="P43:R43"/>
    <mergeCell ref="M44:O44"/>
    <mergeCell ref="P44:R44"/>
    <mergeCell ref="B45:R45"/>
    <mergeCell ref="W46:X46"/>
    <mergeCell ref="M27:Q27"/>
    <mergeCell ref="I6:J6"/>
    <mergeCell ref="P6:Q6"/>
    <mergeCell ref="E7:G7"/>
    <mergeCell ref="B8:C8"/>
    <mergeCell ref="D8:E8"/>
    <mergeCell ref="F8:G8"/>
    <mergeCell ref="H8:I8"/>
    <mergeCell ref="W47:X47"/>
    <mergeCell ref="B9:C9"/>
    <mergeCell ref="D9:E9"/>
    <mergeCell ref="H9:I9"/>
    <mergeCell ref="F10:I10"/>
    <mergeCell ref="H17:L17"/>
    <mergeCell ref="G2:M3"/>
    <mergeCell ref="P3:R3"/>
    <mergeCell ref="G4:M4"/>
    <mergeCell ref="P4:Q4"/>
    <mergeCell ref="W4:AE4"/>
    <mergeCell ref="B5:D5"/>
    <mergeCell ref="I5:J5"/>
    <mergeCell ref="L5:N5"/>
    <mergeCell ref="P5:Q5"/>
  </mergeCells>
  <conditionalFormatting sqref="F73">
    <cfRule type="expression" dxfId="29" priority="25" stopIfTrue="1">
      <formula>$D$73=FALSE</formula>
    </cfRule>
  </conditionalFormatting>
  <conditionalFormatting sqref="L54">
    <cfRule type="cellIs" dxfId="28" priority="26" stopIfTrue="1" operator="equal">
      <formula>"1 Mile"</formula>
    </cfRule>
  </conditionalFormatting>
  <conditionalFormatting sqref="J54">
    <cfRule type="cellIs" dxfId="27" priority="27" stopIfTrue="1" operator="equal">
      <formula>"1000m"</formula>
    </cfRule>
  </conditionalFormatting>
  <conditionalFormatting sqref="M66">
    <cfRule type="cellIs" dxfId="26" priority="28" stopIfTrue="1" operator="greaterThan">
      <formula>1</formula>
    </cfRule>
  </conditionalFormatting>
  <conditionalFormatting sqref="I6:J6">
    <cfRule type="cellIs" dxfId="25" priority="29" stopIfTrue="1" operator="notBetween">
      <formula>25</formula>
      <formula>85</formula>
    </cfRule>
  </conditionalFormatting>
  <conditionalFormatting sqref="E5">
    <cfRule type="cellIs" dxfId="24" priority="32" stopIfTrue="1" operator="notBetween">
      <formula>5</formula>
      <formula>100</formula>
    </cfRule>
  </conditionalFormatting>
  <conditionalFormatting sqref="P48 R76">
    <cfRule type="cellIs" dxfId="23" priority="33" stopIfTrue="1" operator="equal">
      <formula>"Birthdate?"</formula>
    </cfRule>
  </conditionalFormatting>
  <conditionalFormatting sqref="R77">
    <cfRule type="expression" dxfId="22" priority="13">
      <formula>ROUND(C3,1)&lt;ROUND(MIN($D$92,$F$94),1)</formula>
    </cfRule>
    <cfRule type="cellIs" dxfId="21" priority="34" operator="equal">
      <formula>"Wght / Hght?"</formula>
    </cfRule>
  </conditionalFormatting>
  <conditionalFormatting sqref="M41">
    <cfRule type="expression" dxfId="20" priority="36" stopIfTrue="1">
      <formula>$N$28=3</formula>
    </cfRule>
  </conditionalFormatting>
  <conditionalFormatting sqref="N41">
    <cfRule type="expression" dxfId="19" priority="37" stopIfTrue="1">
      <formula>OR($N$28=2,$N$28=4)</formula>
    </cfRule>
  </conditionalFormatting>
  <conditionalFormatting sqref="O41">
    <cfRule type="expression" dxfId="18" priority="38" stopIfTrue="1">
      <formula>OR($N$28=1,$N$28=4)</formula>
    </cfRule>
  </conditionalFormatting>
  <conditionalFormatting sqref="P41">
    <cfRule type="expression" dxfId="17" priority="39" stopIfTrue="1">
      <formula>OR($N$28=1,$N$28=2,$N$28=3)</formula>
    </cfRule>
  </conditionalFormatting>
  <conditionalFormatting sqref="Q31:R40">
    <cfRule type="cellIs" dxfId="16" priority="40" stopIfTrue="1" operator="equal">
      <formula>0</formula>
    </cfRule>
  </conditionalFormatting>
  <conditionalFormatting sqref="M31:M40">
    <cfRule type="expression" dxfId="15" priority="41" stopIfTrue="1">
      <formula>$R$29=3</formula>
    </cfRule>
  </conditionalFormatting>
  <conditionalFormatting sqref="N31:N40">
    <cfRule type="expression" dxfId="14" priority="42" stopIfTrue="1">
      <formula>OR($R$29=2,$R$29=4)</formula>
    </cfRule>
  </conditionalFormatting>
  <conditionalFormatting sqref="O31:O40">
    <cfRule type="expression" dxfId="13" priority="43" stopIfTrue="1">
      <formula>OR($R$29=1,$R$29=4)</formula>
    </cfRule>
  </conditionalFormatting>
  <conditionalFormatting sqref="P31:P40">
    <cfRule type="expression" dxfId="12" priority="44" stopIfTrue="1">
      <formula>OR($R$29=1,$R$29=2,$R$29=3)</formula>
    </cfRule>
  </conditionalFormatting>
  <conditionalFormatting sqref="L73">
    <cfRule type="expression" dxfId="11" priority="45" stopIfTrue="1">
      <formula>$J$73=FALSE</formula>
    </cfRule>
  </conditionalFormatting>
  <conditionalFormatting sqref="H89 E82">
    <cfRule type="cellIs" dxfId="10" priority="19" stopIfTrue="1" operator="equal">
      <formula>"Birthdate?"</formula>
    </cfRule>
  </conditionalFormatting>
  <conditionalFormatting sqref="D83:L83">
    <cfRule type="expression" dxfId="9" priority="18">
      <formula>ROUND(D83,1)&lt;ROUND(MIN($D$92,$F$94),1)</formula>
    </cfRule>
  </conditionalFormatting>
  <conditionalFormatting sqref="I95:L96">
    <cfRule type="expression" dxfId="8" priority="17">
      <formula>ROUND(I95,1)=ROUND($N$88,1)</formula>
    </cfRule>
  </conditionalFormatting>
  <conditionalFormatting sqref="M87:N87">
    <cfRule type="cellIs" dxfId="7" priority="16" stopIfTrue="1" operator="equal">
      <formula>"Current Weight?"</formula>
    </cfRule>
  </conditionalFormatting>
  <conditionalFormatting sqref="M89">
    <cfRule type="expression" dxfId="6" priority="15">
      <formula>ROUND($N$88,1)&lt;ROUND(MIN($D$92,$F$94),1)</formula>
    </cfRule>
  </conditionalFormatting>
  <conditionalFormatting sqref="K89">
    <cfRule type="cellIs" dxfId="5" priority="11" operator="equal">
      <formula>"Wght / Hght?"</formula>
    </cfRule>
  </conditionalFormatting>
  <conditionalFormatting sqref="E101 G102">
    <cfRule type="containsText" dxfId="4" priority="10" operator="containsText" text="Weight?">
      <formula>NOT(ISERROR(SEARCH("Weight?",E101)))</formula>
    </cfRule>
  </conditionalFormatting>
  <conditionalFormatting sqref="R79">
    <cfRule type="expression" dxfId="3" priority="4" stopIfTrue="1">
      <formula>ROUND($P$80,1)&lt;ROUND(MIN($D$92,$F$94),1)</formula>
    </cfRule>
  </conditionalFormatting>
  <conditionalFormatting sqref="G95:H95">
    <cfRule type="expression" dxfId="2" priority="3">
      <formula>ROUND(G95,1)=ROUND($N$88,1)</formula>
    </cfRule>
  </conditionalFormatting>
  <conditionalFormatting sqref="G96:H96">
    <cfRule type="expression" dxfId="1" priority="2">
      <formula>ROUND(G96,1)=ROUND($N$88,1)</formula>
    </cfRule>
  </conditionalFormatting>
  <conditionalFormatting sqref="D91">
    <cfRule type="expression" dxfId="0" priority="1">
      <formula>ROUND(D92,1)=ROUND($N$88,1)</formula>
    </cfRule>
  </conditionalFormatting>
  <dataValidations count="4">
    <dataValidation type="list" allowBlank="1" showInputMessage="1" showErrorMessage="1" sqref="E6">
      <formula1>$Z$124:$Z$131</formula1>
    </dataValidation>
    <dataValidation type="whole" allowBlank="1" showInputMessage="1" showErrorMessage="1" sqref="R29">
      <formula1>1</formula1>
      <formula2>4</formula2>
    </dataValidation>
    <dataValidation type="date" allowBlank="1" showInputMessage="1" showErrorMessage="1" sqref="E2">
      <formula1>1</formula1>
      <formula2>NOW()</formula2>
    </dataValidation>
    <dataValidation allowBlank="1" showErrorMessage="1" promptTitle="Time Entry" sqref="G6"/>
  </dataValidations>
  <hyperlinks>
    <hyperlink ref="B63:D63" r:id="rId1" display="McMillanRunning.com"/>
    <hyperlink ref="B69:E69" r:id="rId2" display="Joe Friel"/>
    <hyperlink ref="AB123:AD123" r:id="rId3" display="2015 Age Grade Factors"/>
    <hyperlink ref="T48:U48" r:id="rId4" display="2015 Age Grade Factors"/>
    <hyperlink ref="N71" r:id="rId5" display="http://www.iaaf.org/statistics/records/index.html"/>
    <hyperlink ref="O71" r:id="rId6"/>
    <hyperlink ref="P71" r:id="rId7"/>
    <hyperlink ref="G52:K52" r:id="rId8" display="Run Smart Project /"/>
    <hyperlink ref="B52:F52" r:id="rId9" display="Jack Daniels Online Training Log"/>
    <hyperlink ref="B63:E63" r:id="rId10" display="McMillanRunning.com"/>
  </hyperlinks>
  <pageMargins left="0.32" right="0.5" top="0.91" bottom="1" header="0.5" footer="0.5"/>
  <pageSetup scale="41" orientation="landscape" horizontalDpi="300" r:id="rId11"/>
  <headerFooter alignWithMargins="0"/>
  <drawing r:id="rId12"/>
  <legacyDrawing r:id="rId13"/>
  <mc:AlternateContent xmlns:mc="http://schemas.openxmlformats.org/markup-compatibility/2006">
    <mc:Choice Requires="x14">
      <controls>
        <mc:AlternateContent xmlns:mc="http://schemas.openxmlformats.org/markup-compatibility/2006">
          <mc:Choice Requires="x14">
            <control shapeId="2049" r:id="rId14" name="Button 1">
              <controlPr defaultSize="0" autoFill="0" autoPict="0" macro="[0]!HidePointsGrid">
                <anchor moveWithCells="1">
                  <from>
                    <xdr:col>2</xdr:col>
                    <xdr:colOff>209550</xdr:colOff>
                    <xdr:row>15</xdr:row>
                    <xdr:rowOff>19050</xdr:rowOff>
                  </from>
                  <to>
                    <xdr:col>3</xdr:col>
                    <xdr:colOff>57150</xdr:colOff>
                    <xdr:row>15</xdr:row>
                    <xdr:rowOff>152400</xdr:rowOff>
                  </to>
                </anchor>
              </controlPr>
            </control>
          </mc:Choice>
        </mc:AlternateContent>
        <mc:AlternateContent xmlns:mc="http://schemas.openxmlformats.org/markup-compatibility/2006">
          <mc:Choice Requires="x14">
            <control shapeId="2050" r:id="rId15" name="Button 2">
              <controlPr defaultSize="0" autoFill="0" autoPict="0" macro="[0]!ShowPointsGrid">
                <anchor moveWithCells="1">
                  <from>
                    <xdr:col>1</xdr:col>
                    <xdr:colOff>542925</xdr:colOff>
                    <xdr:row>15</xdr:row>
                    <xdr:rowOff>19050</xdr:rowOff>
                  </from>
                  <to>
                    <xdr:col>2</xdr:col>
                    <xdr:colOff>190500</xdr:colOff>
                    <xdr:row>15</xdr:row>
                    <xdr:rowOff>152400</xdr:rowOff>
                  </to>
                </anchor>
              </controlPr>
            </control>
          </mc:Choice>
        </mc:AlternateContent>
        <mc:AlternateContent xmlns:mc="http://schemas.openxmlformats.org/markup-compatibility/2006">
          <mc:Choice Requires="x14">
            <control shapeId="2051" r:id="rId16" name="Check Box 3">
              <controlPr defaultSize="0" autoFill="0" autoLine="0" autoPict="0">
                <anchor moveWithCells="1">
                  <from>
                    <xdr:col>11</xdr:col>
                    <xdr:colOff>9525</xdr:colOff>
                    <xdr:row>51</xdr:row>
                    <xdr:rowOff>133350</xdr:rowOff>
                  </from>
                  <to>
                    <xdr:col>11</xdr:col>
                    <xdr:colOff>533400</xdr:colOff>
                    <xdr:row>53</xdr:row>
                    <xdr:rowOff>9525</xdr:rowOff>
                  </to>
                </anchor>
              </controlPr>
            </control>
          </mc:Choice>
        </mc:AlternateContent>
        <mc:AlternateContent xmlns:mc="http://schemas.openxmlformats.org/markup-compatibility/2006">
          <mc:Choice Requires="x14">
            <control shapeId="2052" r:id="rId17" name="Button 4">
              <controlPr defaultSize="0" print="0" autoFill="0" autoPict="0" macro="[0]!HideDistanceDetails">
                <anchor moveWithCells="1" sizeWithCells="1">
                  <from>
                    <xdr:col>1</xdr:col>
                    <xdr:colOff>38100</xdr:colOff>
                    <xdr:row>7</xdr:row>
                    <xdr:rowOff>47625</xdr:rowOff>
                  </from>
                  <to>
                    <xdr:col>1</xdr:col>
                    <xdr:colOff>142875</xdr:colOff>
                    <xdr:row>8</xdr:row>
                    <xdr:rowOff>28575</xdr:rowOff>
                  </to>
                </anchor>
              </controlPr>
            </control>
          </mc:Choice>
        </mc:AlternateContent>
        <mc:AlternateContent xmlns:mc="http://schemas.openxmlformats.org/markup-compatibility/2006">
          <mc:Choice Requires="x14">
            <control shapeId="2053" r:id="rId18" name="Button 5">
              <controlPr defaultSize="0" autoFill="0" autoPict="0" macro="[0]!ShowDistanceDetails">
                <anchor moveWithCells="1">
                  <from>
                    <xdr:col>1</xdr:col>
                    <xdr:colOff>38100</xdr:colOff>
                    <xdr:row>6</xdr:row>
                    <xdr:rowOff>19050</xdr:rowOff>
                  </from>
                  <to>
                    <xdr:col>1</xdr:col>
                    <xdr:colOff>142875</xdr:colOff>
                    <xdr:row>7</xdr:row>
                    <xdr:rowOff>0</xdr:rowOff>
                  </to>
                </anchor>
              </controlPr>
            </control>
          </mc:Choice>
        </mc:AlternateContent>
        <mc:AlternateContent xmlns:mc="http://schemas.openxmlformats.org/markup-compatibility/2006">
          <mc:Choice Requires="x14">
            <control shapeId="2054" r:id="rId19" name="Button 6">
              <controlPr defaultSize="0" print="0" autoFill="0" autoPict="0" macro="[0]!ClearIntensityCalculator">
                <anchor moveWithCells="1" sizeWithCells="1">
                  <from>
                    <xdr:col>16</xdr:col>
                    <xdr:colOff>409575</xdr:colOff>
                    <xdr:row>26</xdr:row>
                    <xdr:rowOff>28575</xdr:rowOff>
                  </from>
                  <to>
                    <xdr:col>17</xdr:col>
                    <xdr:colOff>533400</xdr:colOff>
                    <xdr:row>26</xdr:row>
                    <xdr:rowOff>152400</xdr:rowOff>
                  </to>
                </anchor>
              </controlPr>
            </control>
          </mc:Choice>
        </mc:AlternateContent>
        <mc:AlternateContent xmlns:mc="http://schemas.openxmlformats.org/markup-compatibility/2006">
          <mc:Choice Requires="x14">
            <control shapeId="2055" r:id="rId20" name="Check Box 7">
              <controlPr defaultSize="0" autoFill="0" autoLine="0" autoPict="0">
                <anchor moveWithCells="1">
                  <from>
                    <xdr:col>14</xdr:col>
                    <xdr:colOff>47625</xdr:colOff>
                    <xdr:row>46</xdr:row>
                    <xdr:rowOff>142875</xdr:rowOff>
                  </from>
                  <to>
                    <xdr:col>14</xdr:col>
                    <xdr:colOff>476250</xdr:colOff>
                    <xdr:row>48</xdr:row>
                    <xdr:rowOff>19050</xdr:rowOff>
                  </to>
                </anchor>
              </controlPr>
            </control>
          </mc:Choice>
        </mc:AlternateContent>
        <mc:AlternateContent xmlns:mc="http://schemas.openxmlformats.org/markup-compatibility/2006">
          <mc:Choice Requires="x14">
            <control shapeId="2056" r:id="rId21" name="Check Box 8">
              <controlPr defaultSize="0" autoFill="0" autoLine="0" autoPict="0">
                <anchor moveWithCells="1">
                  <from>
                    <xdr:col>1</xdr:col>
                    <xdr:colOff>85725</xdr:colOff>
                    <xdr:row>2</xdr:row>
                    <xdr:rowOff>133350</xdr:rowOff>
                  </from>
                  <to>
                    <xdr:col>1</xdr:col>
                    <xdr:colOff>609600</xdr:colOff>
                    <xdr:row>4</xdr:row>
                    <xdr:rowOff>9525</xdr:rowOff>
                  </to>
                </anchor>
              </controlPr>
            </control>
          </mc:Choice>
        </mc:AlternateContent>
        <mc:AlternateContent xmlns:mc="http://schemas.openxmlformats.org/markup-compatibility/2006">
          <mc:Choice Requires="x14">
            <control shapeId="2057" r:id="rId22" name="Check Box 9">
              <controlPr defaultSize="0" autoFill="0" autoLine="0" autoPict="0">
                <anchor moveWithCells="1">
                  <from>
                    <xdr:col>11</xdr:col>
                    <xdr:colOff>19050</xdr:colOff>
                    <xdr:row>67</xdr:row>
                    <xdr:rowOff>133350</xdr:rowOff>
                  </from>
                  <to>
                    <xdr:col>11</xdr:col>
                    <xdr:colOff>542925</xdr:colOff>
                    <xdr:row>69</xdr:row>
                    <xdr:rowOff>9525</xdr:rowOff>
                  </to>
                </anchor>
              </controlPr>
            </control>
          </mc:Choice>
        </mc:AlternateContent>
        <mc:AlternateContent xmlns:mc="http://schemas.openxmlformats.org/markup-compatibility/2006">
          <mc:Choice Requires="x14">
            <control shapeId="2058" r:id="rId23" name="Check Box 10">
              <controlPr defaultSize="0" autoFill="0" autoLine="0" autoPict="0">
                <anchor moveWithCells="1">
                  <from>
                    <xdr:col>11</xdr:col>
                    <xdr:colOff>19050</xdr:colOff>
                    <xdr:row>45</xdr:row>
                    <xdr:rowOff>142875</xdr:rowOff>
                  </from>
                  <to>
                    <xdr:col>11</xdr:col>
                    <xdr:colOff>542925</xdr:colOff>
                    <xdr:row>47</xdr:row>
                    <xdr:rowOff>19050</xdr:rowOff>
                  </to>
                </anchor>
              </controlPr>
            </control>
          </mc:Choice>
        </mc:AlternateContent>
        <mc:AlternateContent xmlns:mc="http://schemas.openxmlformats.org/markup-compatibility/2006">
          <mc:Choice Requires="x14">
            <control shapeId="2059" r:id="rId24" name="Check Box 11">
              <controlPr defaultSize="0" autoFill="0" autoLine="0" autoPict="0">
                <anchor moveWithCells="1">
                  <from>
                    <xdr:col>15</xdr:col>
                    <xdr:colOff>19050</xdr:colOff>
                    <xdr:row>68</xdr:row>
                    <xdr:rowOff>133350</xdr:rowOff>
                  </from>
                  <to>
                    <xdr:col>15</xdr:col>
                    <xdr:colOff>542925</xdr:colOff>
                    <xdr:row>70</xdr:row>
                    <xdr:rowOff>9525</xdr:rowOff>
                  </to>
                </anchor>
              </controlPr>
            </control>
          </mc:Choice>
        </mc:AlternateContent>
        <mc:AlternateContent xmlns:mc="http://schemas.openxmlformats.org/markup-compatibility/2006">
          <mc:Choice Requires="x14">
            <control shapeId="2060" r:id="rId25" name="Check Box 12">
              <controlPr defaultSize="0" autoFill="0" autoLine="0" autoPict="0">
                <anchor moveWithCells="1">
                  <from>
                    <xdr:col>15</xdr:col>
                    <xdr:colOff>523875</xdr:colOff>
                    <xdr:row>47</xdr:row>
                    <xdr:rowOff>161925</xdr:rowOff>
                  </from>
                  <to>
                    <xdr:col>16</xdr:col>
                    <xdr:colOff>533400</xdr:colOff>
                    <xdr:row>49</xdr:row>
                    <xdr:rowOff>0</xdr:rowOff>
                  </to>
                </anchor>
              </controlPr>
            </control>
          </mc:Choice>
        </mc:AlternateContent>
        <mc:AlternateContent xmlns:mc="http://schemas.openxmlformats.org/markup-compatibility/2006">
          <mc:Choice Requires="x14">
            <control shapeId="2061" r:id="rId26" name="Check Box 13">
              <controlPr defaultSize="0" autoFill="0" autoLine="0" autoPict="0">
                <anchor moveWithCells="1">
                  <from>
                    <xdr:col>1</xdr:col>
                    <xdr:colOff>695325</xdr:colOff>
                    <xdr:row>2</xdr:row>
                    <xdr:rowOff>133350</xdr:rowOff>
                  </from>
                  <to>
                    <xdr:col>2</xdr:col>
                    <xdr:colOff>409575</xdr:colOff>
                    <xdr:row>4</xdr:row>
                    <xdr:rowOff>9525</xdr:rowOff>
                  </to>
                </anchor>
              </controlPr>
            </control>
          </mc:Choice>
        </mc:AlternateContent>
        <mc:AlternateContent xmlns:mc="http://schemas.openxmlformats.org/markup-compatibility/2006">
          <mc:Choice Requires="x14">
            <control shapeId="2062" r:id="rId27" name="Check Box 14">
              <controlPr defaultSize="0" autoFill="0" autoLine="0" autoPict="0">
                <anchor moveWithCells="1">
                  <from>
                    <xdr:col>11</xdr:col>
                    <xdr:colOff>19050</xdr:colOff>
                    <xdr:row>80</xdr:row>
                    <xdr:rowOff>142875</xdr:rowOff>
                  </from>
                  <to>
                    <xdr:col>11</xdr:col>
                    <xdr:colOff>542925</xdr:colOff>
                    <xdr:row>82</xdr:row>
                    <xdr:rowOff>19050</xdr:rowOff>
                  </to>
                </anchor>
              </controlPr>
            </control>
          </mc:Choice>
        </mc:AlternateContent>
        <mc:AlternateContent xmlns:mc="http://schemas.openxmlformats.org/markup-compatibility/2006">
          <mc:Choice Requires="x14">
            <control shapeId="2063" r:id="rId28" name="Button 15">
              <controlPr defaultSize="0" autoFill="0" autoPict="0" macro="[0]!ClearWorkLoadTable">
                <anchor moveWithCells="1">
                  <from>
                    <xdr:col>11</xdr:col>
                    <xdr:colOff>104775</xdr:colOff>
                    <xdr:row>106</xdr:row>
                    <xdr:rowOff>9525</xdr:rowOff>
                  </from>
                  <to>
                    <xdr:col>11</xdr:col>
                    <xdr:colOff>523875</xdr:colOff>
                    <xdr:row>106</xdr:row>
                    <xdr:rowOff>161925</xdr:rowOff>
                  </to>
                </anchor>
              </controlPr>
            </control>
          </mc:Choice>
        </mc:AlternateContent>
        <mc:AlternateContent xmlns:mc="http://schemas.openxmlformats.org/markup-compatibility/2006">
          <mc:Choice Requires="x14">
            <control shapeId="2064" r:id="rId29" name="Check Box 16">
              <controlPr defaultSize="0" autoFill="0" autoLine="0" autoPict="0">
                <anchor moveWithCells="1">
                  <from>
                    <xdr:col>17</xdr:col>
                    <xdr:colOff>9525</xdr:colOff>
                    <xdr:row>83</xdr:row>
                    <xdr:rowOff>142875</xdr:rowOff>
                  </from>
                  <to>
                    <xdr:col>17</xdr:col>
                    <xdr:colOff>533400</xdr:colOff>
                    <xdr:row>85</xdr:row>
                    <xdr:rowOff>19050</xdr:rowOff>
                  </to>
                </anchor>
              </controlPr>
            </control>
          </mc:Choice>
        </mc:AlternateContent>
        <mc:AlternateContent xmlns:mc="http://schemas.openxmlformats.org/markup-compatibility/2006">
          <mc:Choice Requires="x14">
            <control shapeId="2065" r:id="rId30" name="Check Box 17">
              <controlPr defaultSize="0" autoFill="0" autoLine="0" autoPict="0">
                <anchor moveWithCells="1">
                  <from>
                    <xdr:col>12</xdr:col>
                    <xdr:colOff>95250</xdr:colOff>
                    <xdr:row>94</xdr:row>
                    <xdr:rowOff>142875</xdr:rowOff>
                  </from>
                  <to>
                    <xdr:col>14</xdr:col>
                    <xdr:colOff>447675</xdr:colOff>
                    <xdr:row>96</xdr:row>
                    <xdr:rowOff>19050</xdr:rowOff>
                  </to>
                </anchor>
              </controlPr>
            </control>
          </mc:Choice>
        </mc:AlternateContent>
        <mc:AlternateContent xmlns:mc="http://schemas.openxmlformats.org/markup-compatibility/2006">
          <mc:Choice Requires="x14">
            <control shapeId="2066" r:id="rId31" name="Check Box 18">
              <controlPr defaultSize="0" autoFill="0" autoLine="0" autoPict="0">
                <anchor moveWithCells="1">
                  <from>
                    <xdr:col>12</xdr:col>
                    <xdr:colOff>0</xdr:colOff>
                    <xdr:row>98</xdr:row>
                    <xdr:rowOff>142875</xdr:rowOff>
                  </from>
                  <to>
                    <xdr:col>13</xdr:col>
                    <xdr:colOff>333375</xdr:colOff>
                    <xdr:row>100</xdr:row>
                    <xdr:rowOff>19050</xdr:rowOff>
                  </to>
                </anchor>
              </controlPr>
            </control>
          </mc:Choice>
        </mc:AlternateContent>
        <mc:AlternateContent xmlns:mc="http://schemas.openxmlformats.org/markup-compatibility/2006">
          <mc:Choice Requires="x14">
            <control shapeId="2067" r:id="rId32" name="Check Box 19">
              <controlPr defaultSize="0" autoFill="0" autoLine="0" autoPict="0">
                <anchor moveWithCells="1">
                  <from>
                    <xdr:col>12</xdr:col>
                    <xdr:colOff>0</xdr:colOff>
                    <xdr:row>100</xdr:row>
                    <xdr:rowOff>142875</xdr:rowOff>
                  </from>
                  <to>
                    <xdr:col>13</xdr:col>
                    <xdr:colOff>333375</xdr:colOff>
                    <xdr:row>102</xdr:row>
                    <xdr:rowOff>19050</xdr:rowOff>
                  </to>
                </anchor>
              </controlPr>
            </control>
          </mc:Choice>
        </mc:AlternateContent>
        <mc:AlternateContent xmlns:mc="http://schemas.openxmlformats.org/markup-compatibility/2006">
          <mc:Choice Requires="x14">
            <control shapeId="2068" r:id="rId33" name="Check Box 20">
              <controlPr defaultSize="0" autoFill="0" autoLine="0" autoPict="0">
                <anchor moveWithCells="1">
                  <from>
                    <xdr:col>12</xdr:col>
                    <xdr:colOff>0</xdr:colOff>
                    <xdr:row>99</xdr:row>
                    <xdr:rowOff>142875</xdr:rowOff>
                  </from>
                  <to>
                    <xdr:col>13</xdr:col>
                    <xdr:colOff>419100</xdr:colOff>
                    <xdr:row>101</xdr:row>
                    <xdr:rowOff>19050</xdr:rowOff>
                  </to>
                </anchor>
              </controlPr>
            </control>
          </mc:Choice>
        </mc:AlternateContent>
        <mc:AlternateContent xmlns:mc="http://schemas.openxmlformats.org/markup-compatibility/2006">
          <mc:Choice Requires="x14">
            <control shapeId="2069" r:id="rId34" name="Button 21">
              <controlPr defaultSize="0" autoFill="0" autoPict="0" macro="[0]!RestoreEntryTime">
                <anchor moveWithCells="1">
                  <from>
                    <xdr:col>12</xdr:col>
                    <xdr:colOff>171450</xdr:colOff>
                    <xdr:row>74</xdr:row>
                    <xdr:rowOff>161925</xdr:rowOff>
                  </from>
                  <to>
                    <xdr:col>13</xdr:col>
                    <xdr:colOff>438150</xdr:colOff>
                    <xdr:row>75</xdr:row>
                    <xdr:rowOff>152400</xdr:rowOff>
                  </to>
                </anchor>
              </controlPr>
            </control>
          </mc:Choice>
        </mc:AlternateContent>
        <mc:AlternateContent xmlns:mc="http://schemas.openxmlformats.org/markup-compatibility/2006">
          <mc:Choice Requires="x14">
            <control shapeId="2070" r:id="rId35" name="Check Box 22">
              <controlPr defaultSize="0" autoFill="0" autoLine="0" autoPict="0">
                <anchor moveWithCells="1">
                  <from>
                    <xdr:col>11</xdr:col>
                    <xdr:colOff>9525</xdr:colOff>
                    <xdr:row>61</xdr:row>
                    <xdr:rowOff>142875</xdr:rowOff>
                  </from>
                  <to>
                    <xdr:col>11</xdr:col>
                    <xdr:colOff>533400</xdr:colOff>
                    <xdr:row>63</xdr:row>
                    <xdr:rowOff>19050</xdr:rowOff>
                  </to>
                </anchor>
              </controlPr>
            </control>
          </mc:Choice>
        </mc:AlternateContent>
        <mc:AlternateContent xmlns:mc="http://schemas.openxmlformats.org/markup-compatibility/2006">
          <mc:Choice Requires="x14">
            <control shapeId="2071" r:id="rId36" name="Check Box 23">
              <controlPr defaultSize="0" autoFill="0" autoLine="0" autoPict="0">
                <anchor moveWithCells="1">
                  <from>
                    <xdr:col>7</xdr:col>
                    <xdr:colOff>66675</xdr:colOff>
                    <xdr:row>65</xdr:row>
                    <xdr:rowOff>133350</xdr:rowOff>
                  </from>
                  <to>
                    <xdr:col>7</xdr:col>
                    <xdr:colOff>466725</xdr:colOff>
                    <xdr:row>67</xdr:row>
                    <xdr:rowOff>9525</xdr:rowOff>
                  </to>
                </anchor>
              </controlPr>
            </control>
          </mc:Choice>
        </mc:AlternateContent>
        <mc:AlternateContent xmlns:mc="http://schemas.openxmlformats.org/markup-compatibility/2006">
          <mc:Choice Requires="x14">
            <control shapeId="2072" r:id="rId37" name="Check Box 24">
              <controlPr defaultSize="0" autoFill="0" autoLine="0" autoPict="0">
                <anchor moveWithCells="1">
                  <from>
                    <xdr:col>11</xdr:col>
                    <xdr:colOff>19050</xdr:colOff>
                    <xdr:row>73</xdr:row>
                    <xdr:rowOff>133350</xdr:rowOff>
                  </from>
                  <to>
                    <xdr:col>11</xdr:col>
                    <xdr:colOff>542925</xdr:colOff>
                    <xdr:row>75</xdr:row>
                    <xdr:rowOff>9525</xdr:rowOff>
                  </to>
                </anchor>
              </controlPr>
            </control>
          </mc:Choice>
        </mc:AlternateContent>
        <mc:AlternateContent xmlns:mc="http://schemas.openxmlformats.org/markup-compatibility/2006">
          <mc:Choice Requires="x14">
            <control shapeId="2073" r:id="rId38" name="Check Box 25">
              <controlPr defaultSize="0" autoFill="0" autoLine="0" autoPict="0">
                <anchor moveWithCells="1">
                  <from>
                    <xdr:col>3</xdr:col>
                    <xdr:colOff>19050</xdr:colOff>
                    <xdr:row>71</xdr:row>
                    <xdr:rowOff>161925</xdr:rowOff>
                  </from>
                  <to>
                    <xdr:col>4</xdr:col>
                    <xdr:colOff>571500</xdr:colOff>
                    <xdr:row>72</xdr:row>
                    <xdr:rowOff>161925</xdr:rowOff>
                  </to>
                </anchor>
              </controlPr>
            </control>
          </mc:Choice>
        </mc:AlternateContent>
        <mc:AlternateContent xmlns:mc="http://schemas.openxmlformats.org/markup-compatibility/2006">
          <mc:Choice Requires="x14">
            <control shapeId="2074" r:id="rId39" name="Check Box 26">
              <controlPr defaultSize="0" autoFill="0" autoLine="0" autoPict="0">
                <anchor moveWithCells="1">
                  <from>
                    <xdr:col>9</xdr:col>
                    <xdr:colOff>19050</xdr:colOff>
                    <xdr:row>71</xdr:row>
                    <xdr:rowOff>161925</xdr:rowOff>
                  </from>
                  <to>
                    <xdr:col>10</xdr:col>
                    <xdr:colOff>552450</xdr:colOff>
                    <xdr:row>72</xdr:row>
                    <xdr:rowOff>161925</xdr:rowOff>
                  </to>
                </anchor>
              </controlPr>
            </control>
          </mc:Choice>
        </mc:AlternateContent>
        <mc:AlternateContent xmlns:mc="http://schemas.openxmlformats.org/markup-compatibility/2006">
          <mc:Choice Requires="x14">
            <control shapeId="2075" r:id="rId40" name="Check Box 27">
              <controlPr defaultSize="0" autoFill="0" autoLine="0" autoPict="0">
                <anchor moveWithCells="1">
                  <from>
                    <xdr:col>3</xdr:col>
                    <xdr:colOff>114300</xdr:colOff>
                    <xdr:row>15</xdr:row>
                    <xdr:rowOff>9525</xdr:rowOff>
                  </from>
                  <to>
                    <xdr:col>4</xdr:col>
                    <xdr:colOff>95250</xdr:colOff>
                    <xdr:row>15</xdr:row>
                    <xdr:rowOff>142875</xdr:rowOff>
                  </to>
                </anchor>
              </controlPr>
            </control>
          </mc:Choice>
        </mc:AlternateContent>
        <mc:AlternateContent xmlns:mc="http://schemas.openxmlformats.org/markup-compatibility/2006">
          <mc:Choice Requires="x14">
            <control shapeId="2076" r:id="rId41" name="Check Box 28">
              <controlPr defaultSize="0" autoFill="0" autoLine="0" autoPict="0">
                <anchor moveWithCells="1">
                  <from>
                    <xdr:col>4</xdr:col>
                    <xdr:colOff>66675</xdr:colOff>
                    <xdr:row>15</xdr:row>
                    <xdr:rowOff>9525</xdr:rowOff>
                  </from>
                  <to>
                    <xdr:col>5</xdr:col>
                    <xdr:colOff>9525</xdr:colOff>
                    <xdr:row>15</xdr:row>
                    <xdr:rowOff>142875</xdr:rowOff>
                  </to>
                </anchor>
              </controlPr>
            </control>
          </mc:Choice>
        </mc:AlternateContent>
        <mc:AlternateContent xmlns:mc="http://schemas.openxmlformats.org/markup-compatibility/2006">
          <mc:Choice Requires="x14">
            <control shapeId="2077" r:id="rId42" name="Check Box 29">
              <controlPr defaultSize="0" autoFill="0" autoLine="0" autoPict="0">
                <anchor moveWithCells="1">
                  <from>
                    <xdr:col>14</xdr:col>
                    <xdr:colOff>190500</xdr:colOff>
                    <xdr:row>79</xdr:row>
                    <xdr:rowOff>152400</xdr:rowOff>
                  </from>
                  <to>
                    <xdr:col>14</xdr:col>
                    <xdr:colOff>428625</xdr:colOff>
                    <xdr:row>81</xdr:row>
                    <xdr:rowOff>19050</xdr:rowOff>
                  </to>
                </anchor>
              </controlPr>
            </control>
          </mc:Choice>
        </mc:AlternateContent>
        <mc:AlternateContent xmlns:mc="http://schemas.openxmlformats.org/markup-compatibility/2006">
          <mc:Choice Requires="x14">
            <control shapeId="2078" r:id="rId43" name="Check Box 30">
              <controlPr defaultSize="0" autoFill="0" autoLine="0" autoPict="0">
                <anchor moveWithCells="1">
                  <from>
                    <xdr:col>14</xdr:col>
                    <xdr:colOff>190500</xdr:colOff>
                    <xdr:row>84</xdr:row>
                    <xdr:rowOff>152400</xdr:rowOff>
                  </from>
                  <to>
                    <xdr:col>14</xdr:col>
                    <xdr:colOff>428625</xdr:colOff>
                    <xdr:row>86</xdr:row>
                    <xdr:rowOff>19050</xdr:rowOff>
                  </to>
                </anchor>
              </controlPr>
            </control>
          </mc:Choice>
        </mc:AlternateContent>
        <mc:AlternateContent xmlns:mc="http://schemas.openxmlformats.org/markup-compatibility/2006">
          <mc:Choice Requires="x14">
            <control shapeId="2079" r:id="rId44" name="Check Box 31">
              <controlPr defaultSize="0" autoFill="0" autoLine="0" autoPict="0">
                <anchor moveWithCells="1">
                  <from>
                    <xdr:col>14</xdr:col>
                    <xdr:colOff>190500</xdr:colOff>
                    <xdr:row>91</xdr:row>
                    <xdr:rowOff>152400</xdr:rowOff>
                  </from>
                  <to>
                    <xdr:col>14</xdr:col>
                    <xdr:colOff>428625</xdr:colOff>
                    <xdr:row>93</xdr:row>
                    <xdr:rowOff>19050</xdr:rowOff>
                  </to>
                </anchor>
              </controlPr>
            </control>
          </mc:Choice>
        </mc:AlternateContent>
        <mc:AlternateContent xmlns:mc="http://schemas.openxmlformats.org/markup-compatibility/2006">
          <mc:Choice Requires="x14">
            <control shapeId="2080" r:id="rId45" name="Option Button 32">
              <controlPr defaultSize="0" autoFill="0" autoLine="0" autoPict="0">
                <anchor moveWithCells="1">
                  <from>
                    <xdr:col>18</xdr:col>
                    <xdr:colOff>38100</xdr:colOff>
                    <xdr:row>6</xdr:row>
                    <xdr:rowOff>9525</xdr:rowOff>
                  </from>
                  <to>
                    <xdr:col>18</xdr:col>
                    <xdr:colOff>590550</xdr:colOff>
                    <xdr:row>6</xdr:row>
                    <xdr:rowOff>152400</xdr:rowOff>
                  </to>
                </anchor>
              </controlPr>
            </control>
          </mc:Choice>
        </mc:AlternateContent>
        <mc:AlternateContent xmlns:mc="http://schemas.openxmlformats.org/markup-compatibility/2006">
          <mc:Choice Requires="x14">
            <control shapeId="2081" r:id="rId46" name="Option Button 33">
              <controlPr defaultSize="0" autoFill="0" autoLine="0" autoPict="0">
                <anchor moveWithCells="1">
                  <from>
                    <xdr:col>18</xdr:col>
                    <xdr:colOff>38100</xdr:colOff>
                    <xdr:row>5</xdr:row>
                    <xdr:rowOff>9525</xdr:rowOff>
                  </from>
                  <to>
                    <xdr:col>18</xdr:col>
                    <xdr:colOff>590550</xdr:colOff>
                    <xdr:row>5</xdr:row>
                    <xdr:rowOff>161925</xdr:rowOff>
                  </to>
                </anchor>
              </controlPr>
            </control>
          </mc:Choice>
        </mc:AlternateContent>
        <mc:AlternateContent xmlns:mc="http://schemas.openxmlformats.org/markup-compatibility/2006">
          <mc:Choice Requires="x14">
            <control shapeId="2082" r:id="rId47" name="Option Button 34">
              <controlPr defaultSize="0" autoFill="0" autoLine="0" autoPict="0">
                <anchor moveWithCells="1">
                  <from>
                    <xdr:col>4</xdr:col>
                    <xdr:colOff>552450</xdr:colOff>
                    <xdr:row>15</xdr:row>
                    <xdr:rowOff>0</xdr:rowOff>
                  </from>
                  <to>
                    <xdr:col>5</xdr:col>
                    <xdr:colOff>523875</xdr:colOff>
                    <xdr:row>15</xdr:row>
                    <xdr:rowOff>161925</xdr:rowOff>
                  </to>
                </anchor>
              </controlPr>
            </control>
          </mc:Choice>
        </mc:AlternateContent>
        <mc:AlternateContent xmlns:mc="http://schemas.openxmlformats.org/markup-compatibility/2006">
          <mc:Choice Requires="x14">
            <control shapeId="2083" r:id="rId48" name="Option Button 35">
              <controlPr defaultSize="0" autoFill="0" autoLine="0" autoPict="0">
                <anchor moveWithCells="1">
                  <from>
                    <xdr:col>5</xdr:col>
                    <xdr:colOff>533400</xdr:colOff>
                    <xdr:row>15</xdr:row>
                    <xdr:rowOff>0</xdr:rowOff>
                  </from>
                  <to>
                    <xdr:col>6</xdr:col>
                    <xdr:colOff>523875</xdr:colOff>
                    <xdr:row>15</xdr:row>
                    <xdr:rowOff>161925</xdr:rowOff>
                  </to>
                </anchor>
              </controlPr>
            </control>
          </mc:Choice>
        </mc:AlternateContent>
        <mc:AlternateContent xmlns:mc="http://schemas.openxmlformats.org/markup-compatibility/2006">
          <mc:Choice Requires="x14">
            <control shapeId="2084" r:id="rId49" name="Group Box 36">
              <controlPr defaultSize="0" autoFill="0" autoPict="0">
                <anchor moveWithCells="1">
                  <from>
                    <xdr:col>17</xdr:col>
                    <xdr:colOff>523875</xdr:colOff>
                    <xdr:row>4</xdr:row>
                    <xdr:rowOff>133350</xdr:rowOff>
                  </from>
                  <to>
                    <xdr:col>19</xdr:col>
                    <xdr:colOff>38100</xdr:colOff>
                    <xdr:row>7</xdr:row>
                    <xdr:rowOff>9525</xdr:rowOff>
                  </to>
                </anchor>
              </controlPr>
            </control>
          </mc:Choice>
        </mc:AlternateContent>
        <mc:AlternateContent xmlns:mc="http://schemas.openxmlformats.org/markup-compatibility/2006">
          <mc:Choice Requires="x14">
            <control shapeId="2105" r:id="rId50" name="Button 57">
              <controlPr defaultSize="0" autoFill="0" autoPict="0" macro="[0]!RestoreStillmanMid">
                <anchor moveWithCells="1">
                  <from>
                    <xdr:col>13</xdr:col>
                    <xdr:colOff>76200</xdr:colOff>
                    <xdr:row>90</xdr:row>
                    <xdr:rowOff>28575</xdr:rowOff>
                  </from>
                  <to>
                    <xdr:col>13</xdr:col>
                    <xdr:colOff>533400</xdr:colOff>
                    <xdr:row>91</xdr:row>
                    <xdr:rowOff>0</xdr:rowOff>
                  </to>
                </anchor>
              </controlPr>
            </control>
          </mc:Choice>
        </mc:AlternateContent>
        <mc:AlternateContent xmlns:mc="http://schemas.openxmlformats.org/markup-compatibility/2006">
          <mc:Choice Requires="x14">
            <control shapeId="2115" r:id="rId51" name="Check Box 67">
              <controlPr defaultSize="0" autoFill="0" autoLine="0" autoPict="0">
                <anchor moveWithCells="1">
                  <from>
                    <xdr:col>1</xdr:col>
                    <xdr:colOff>76200</xdr:colOff>
                    <xdr:row>99</xdr:row>
                    <xdr:rowOff>9525</xdr:rowOff>
                  </from>
                  <to>
                    <xdr:col>1</xdr:col>
                    <xdr:colOff>504825</xdr:colOff>
                    <xdr:row>100</xdr:row>
                    <xdr:rowOff>0</xdr:rowOff>
                  </to>
                </anchor>
              </controlPr>
            </control>
          </mc:Choice>
        </mc:AlternateContent>
        <mc:AlternateContent xmlns:mc="http://schemas.openxmlformats.org/markup-compatibility/2006">
          <mc:Choice Requires="x14">
            <control shapeId="2118" r:id="rId52" name="Check Box 70">
              <controlPr defaultSize="0" autoFill="0" autoLine="0" autoPict="0">
                <anchor moveWithCells="1">
                  <from>
                    <xdr:col>11</xdr:col>
                    <xdr:colOff>19050</xdr:colOff>
                    <xdr:row>80</xdr:row>
                    <xdr:rowOff>142875</xdr:rowOff>
                  </from>
                  <to>
                    <xdr:col>11</xdr:col>
                    <xdr:colOff>542925</xdr:colOff>
                    <xdr:row>82</xdr:row>
                    <xdr:rowOff>19050</xdr:rowOff>
                  </to>
                </anchor>
              </controlPr>
            </control>
          </mc:Choice>
        </mc:AlternateContent>
        <mc:AlternateContent xmlns:mc="http://schemas.openxmlformats.org/markup-compatibility/2006">
          <mc:Choice Requires="x14">
            <control shapeId="2121" r:id="rId53" name="Button 73">
              <controlPr defaultSize="0" autoFill="0" autoPict="0" macro="[0]!RestoreStillmanLong">
                <anchor moveWithCells="1">
                  <from>
                    <xdr:col>14</xdr:col>
                    <xdr:colOff>47625</xdr:colOff>
                    <xdr:row>90</xdr:row>
                    <xdr:rowOff>28575</xdr:rowOff>
                  </from>
                  <to>
                    <xdr:col>14</xdr:col>
                    <xdr:colOff>504825</xdr:colOff>
                    <xdr:row>91</xdr:row>
                    <xdr:rowOff>0</xdr:rowOff>
                  </to>
                </anchor>
              </controlPr>
            </control>
          </mc:Choice>
        </mc:AlternateContent>
        <mc:AlternateContent xmlns:mc="http://schemas.openxmlformats.org/markup-compatibility/2006">
          <mc:Choice Requires="x14">
            <control shapeId="2122" r:id="rId54" name="Button 74">
              <controlPr defaultSize="0" autoFill="0" autoPict="0" macro="[0]!RestoreBMI">
                <anchor moveWithCells="1">
                  <from>
                    <xdr:col>12</xdr:col>
                    <xdr:colOff>104775</xdr:colOff>
                    <xdr:row>90</xdr:row>
                    <xdr:rowOff>28575</xdr:rowOff>
                  </from>
                  <to>
                    <xdr:col>12</xdr:col>
                    <xdr:colOff>561975</xdr:colOff>
                    <xdr:row>91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93"/>
  <sheetViews>
    <sheetView workbookViewId="0">
      <selection activeCell="G12" sqref="G12"/>
    </sheetView>
  </sheetViews>
  <sheetFormatPr defaultColWidth="14.42578125" defaultRowHeight="15" x14ac:dyDescent="0.25"/>
  <cols>
    <col min="1" max="1" width="25.140625" style="738" customWidth="1"/>
    <col min="2" max="3" width="12.140625" style="738" customWidth="1"/>
    <col min="4" max="4" width="5.42578125" style="738" customWidth="1"/>
    <col min="5" max="5" width="1.85546875" style="738" customWidth="1"/>
    <col min="6" max="6" width="5.7109375" style="738" customWidth="1"/>
    <col min="7" max="7" width="5.42578125" style="738" customWidth="1"/>
    <col min="8" max="8" width="1.85546875" style="738" customWidth="1"/>
    <col min="9" max="9" width="5.42578125" style="738" customWidth="1"/>
    <col min="10" max="12" width="17.42578125" style="738" customWidth="1"/>
    <col min="13" max="15" width="17.42578125" style="738" hidden="1" customWidth="1"/>
    <col min="16" max="16" width="14.42578125" style="738" hidden="1" customWidth="1"/>
    <col min="17" max="17" width="12.7109375" style="738" hidden="1" customWidth="1"/>
    <col min="18" max="16384" width="14.42578125" style="738"/>
  </cols>
  <sheetData>
    <row r="1" spans="1:19" x14ac:dyDescent="0.25">
      <c r="A1" s="845"/>
      <c r="B1" s="845"/>
      <c r="C1" s="845"/>
      <c r="D1" s="845"/>
      <c r="E1" s="845"/>
      <c r="F1" s="845"/>
    </row>
    <row r="2" spans="1:19" x14ac:dyDescent="0.25">
      <c r="A2" s="845"/>
      <c r="B2" s="845"/>
      <c r="C2" s="845"/>
      <c r="D2" s="845"/>
      <c r="E2" s="845"/>
      <c r="F2" s="845"/>
    </row>
    <row r="3" spans="1:19" ht="15.75" thickBot="1" x14ac:dyDescent="0.3">
      <c r="A3" s="845"/>
      <c r="B3" s="845"/>
      <c r="C3" s="845"/>
      <c r="D3" s="845"/>
      <c r="E3" s="845"/>
      <c r="F3" s="845"/>
    </row>
    <row r="4" spans="1:19" ht="19.5" customHeight="1" thickBot="1" x14ac:dyDescent="0.3">
      <c r="A4" s="871" t="s">
        <v>531</v>
      </c>
      <c r="B4" s="1277" t="s">
        <v>54</v>
      </c>
      <c r="C4" s="1278"/>
      <c r="D4" s="1277" t="s">
        <v>532</v>
      </c>
      <c r="E4" s="1279"/>
      <c r="F4" s="1278"/>
      <c r="G4" s="1280" t="s">
        <v>660</v>
      </c>
      <c r="H4" s="1281"/>
      <c r="I4" s="1282"/>
      <c r="J4" s="847"/>
      <c r="K4" s="847"/>
      <c r="L4" s="847"/>
      <c r="M4" s="848" t="s">
        <v>529</v>
      </c>
      <c r="N4" s="848" t="s">
        <v>534</v>
      </c>
      <c r="O4" s="848" t="s">
        <v>535</v>
      </c>
      <c r="P4" s="848" t="s">
        <v>536</v>
      </c>
      <c r="Q4" s="848" t="s">
        <v>24</v>
      </c>
      <c r="R4" s="847"/>
      <c r="S4" s="847"/>
    </row>
    <row r="5" spans="1:19" ht="24" customHeight="1" thickBot="1" x14ac:dyDescent="0.3">
      <c r="A5" s="853" t="s">
        <v>662</v>
      </c>
      <c r="B5" s="1283">
        <f>PaceCalMaxHR!B5</f>
        <v>0.1875</v>
      </c>
      <c r="C5" s="1284"/>
      <c r="D5" s="1284"/>
      <c r="E5" s="1284"/>
      <c r="F5" s="1284"/>
      <c r="G5" s="1284"/>
      <c r="H5" s="1284"/>
      <c r="I5" s="1285"/>
      <c r="J5" s="847"/>
      <c r="K5" s="847"/>
      <c r="L5" s="847"/>
      <c r="M5" s="850">
        <v>0.20486111111111113</v>
      </c>
      <c r="N5" s="892" t="s">
        <v>537</v>
      </c>
      <c r="O5" s="892" t="s">
        <v>538</v>
      </c>
      <c r="P5" s="892" t="s">
        <v>539</v>
      </c>
      <c r="Q5" s="892" t="s">
        <v>540</v>
      </c>
      <c r="R5" s="893"/>
      <c r="S5" s="893"/>
    </row>
    <row r="6" spans="1:19" ht="24" customHeight="1" thickBot="1" x14ac:dyDescent="0.3">
      <c r="A6" s="853" t="s">
        <v>3</v>
      </c>
      <c r="B6" s="1293">
        <f>PaceCalMaxHR!B6</f>
        <v>60</v>
      </c>
      <c r="C6" s="1294"/>
      <c r="D6" s="1294"/>
      <c r="E6" s="1294"/>
      <c r="F6" s="1294"/>
      <c r="G6" s="1294"/>
      <c r="H6" s="1294"/>
      <c r="I6" s="1295"/>
      <c r="J6" s="847"/>
      <c r="K6" s="847"/>
      <c r="L6" s="847"/>
      <c r="M6" s="850"/>
      <c r="N6" s="892"/>
      <c r="O6" s="892"/>
      <c r="P6" s="892"/>
      <c r="Q6" s="892"/>
      <c r="R6" s="893"/>
      <c r="S6" s="893"/>
    </row>
    <row r="7" spans="1:19" ht="24" customHeight="1" thickBot="1" x14ac:dyDescent="0.3">
      <c r="A7" s="853" t="s">
        <v>661</v>
      </c>
      <c r="B7" s="1286">
        <f>PaceCalMaxHR!B7</f>
        <v>190</v>
      </c>
      <c r="C7" s="1284"/>
      <c r="D7" s="1284"/>
      <c r="E7" s="1284"/>
      <c r="F7" s="1284"/>
      <c r="G7" s="1284"/>
      <c r="H7" s="1284"/>
      <c r="I7" s="1285"/>
      <c r="J7" s="847"/>
      <c r="K7" s="847"/>
      <c r="L7" s="847"/>
      <c r="M7" s="850">
        <v>0.20138888888888887</v>
      </c>
      <c r="N7" s="892" t="s">
        <v>542</v>
      </c>
      <c r="O7" s="892" t="s">
        <v>543</v>
      </c>
      <c r="P7" s="892" t="s">
        <v>538</v>
      </c>
      <c r="Q7" s="892" t="s">
        <v>543</v>
      </c>
      <c r="R7" s="847"/>
      <c r="S7" s="847"/>
    </row>
    <row r="8" spans="1:19" ht="24" customHeight="1" thickBot="1" x14ac:dyDescent="0.3">
      <c r="A8" s="853" t="s">
        <v>544</v>
      </c>
      <c r="B8" s="854">
        <f>(B5*86400/42.195-0.5)/86400</f>
        <v>4.4378674243920422E-3</v>
      </c>
      <c r="C8" s="855"/>
      <c r="D8" s="856">
        <f>ROUND(B7*G8,0)</f>
        <v>139</v>
      </c>
      <c r="E8" s="857" t="s">
        <v>44</v>
      </c>
      <c r="F8" s="858">
        <f>ROUND(B7*I8,0)</f>
        <v>160</v>
      </c>
      <c r="G8" s="859">
        <v>0.73</v>
      </c>
      <c r="H8" s="857" t="s">
        <v>44</v>
      </c>
      <c r="I8" s="860">
        <v>0.84</v>
      </c>
      <c r="J8" s="847"/>
      <c r="K8" s="847"/>
      <c r="L8" s="847"/>
      <c r="M8" s="850">
        <v>0.19791666666666666</v>
      </c>
      <c r="N8" s="892" t="s">
        <v>545</v>
      </c>
      <c r="O8" s="892" t="s">
        <v>546</v>
      </c>
      <c r="P8" s="892" t="s">
        <v>547</v>
      </c>
      <c r="Q8" s="892" t="s">
        <v>548</v>
      </c>
      <c r="R8" s="847"/>
      <c r="S8" s="847"/>
    </row>
    <row r="9" spans="1:19" ht="24" customHeight="1" thickBot="1" x14ac:dyDescent="0.3">
      <c r="A9" s="853" t="s">
        <v>549</v>
      </c>
      <c r="B9" s="854">
        <f>'Daniels Tables'!P15</f>
        <v>3.9098745353162755E-3</v>
      </c>
      <c r="C9" s="855"/>
      <c r="D9" s="856">
        <f>ROUND(B7*G9,0)</f>
        <v>173</v>
      </c>
      <c r="E9" s="857" t="s">
        <v>44</v>
      </c>
      <c r="F9" s="858">
        <f>ROUND(B7*I9,0)</f>
        <v>179</v>
      </c>
      <c r="G9" s="859">
        <v>0.91</v>
      </c>
      <c r="H9" s="857" t="s">
        <v>44</v>
      </c>
      <c r="I9" s="860">
        <v>0.94</v>
      </c>
      <c r="J9" s="847"/>
      <c r="K9" s="847"/>
      <c r="L9" s="847"/>
      <c r="M9" s="850">
        <v>0.19444444444444445</v>
      </c>
      <c r="N9" s="892" t="s">
        <v>550</v>
      </c>
      <c r="O9" s="892" t="s">
        <v>551</v>
      </c>
      <c r="P9" s="892" t="s">
        <v>552</v>
      </c>
      <c r="Q9" s="892" t="s">
        <v>553</v>
      </c>
      <c r="R9" s="847"/>
      <c r="S9" s="847"/>
    </row>
    <row r="10" spans="1:19" ht="24" customHeight="1" thickBot="1" x14ac:dyDescent="0.3">
      <c r="A10" s="853" t="s">
        <v>554</v>
      </c>
      <c r="B10" s="854">
        <f>'Daniels Tables'!L15</f>
        <v>4.1762846962591178E-3</v>
      </c>
      <c r="C10" s="854">
        <f>'Daniels Tables'!K15</f>
        <v>4.2626382819004249E-3</v>
      </c>
      <c r="D10" s="856">
        <f>ROUND(B7*G10,0)</f>
        <v>146</v>
      </c>
      <c r="E10" s="857" t="s">
        <v>44</v>
      </c>
      <c r="F10" s="858">
        <f>ROUND(B7*I10,0)</f>
        <v>167</v>
      </c>
      <c r="G10" s="859">
        <v>0.77</v>
      </c>
      <c r="H10" s="857" t="s">
        <v>44</v>
      </c>
      <c r="I10" s="860">
        <v>0.88</v>
      </c>
      <c r="J10" s="847"/>
      <c r="K10" s="847"/>
      <c r="L10" s="847"/>
      <c r="M10" s="850">
        <v>0.19097222222222221</v>
      </c>
      <c r="N10" s="892" t="s">
        <v>555</v>
      </c>
      <c r="O10" s="892" t="s">
        <v>556</v>
      </c>
      <c r="P10" s="892" t="s">
        <v>557</v>
      </c>
      <c r="Q10" s="892" t="s">
        <v>558</v>
      </c>
      <c r="R10" s="847"/>
      <c r="S10" s="847"/>
    </row>
    <row r="11" spans="1:19" ht="24" customHeight="1" thickBot="1" x14ac:dyDescent="0.3">
      <c r="A11" s="853" t="s">
        <v>559</v>
      </c>
      <c r="B11" s="854">
        <f>(B5*86400/42.195-0.5)/86400*1.1</f>
        <v>4.8816541668312468E-3</v>
      </c>
      <c r="C11" s="854">
        <f>(B5*86400/42.195-0.5)/86400*1.2</f>
        <v>5.3254409092704505E-3</v>
      </c>
      <c r="D11" s="856">
        <f>ROUND(B7*G11,0)</f>
        <v>124</v>
      </c>
      <c r="E11" s="857" t="s">
        <v>44</v>
      </c>
      <c r="F11" s="858">
        <f>ROUND(B7*I11,0)</f>
        <v>148</v>
      </c>
      <c r="G11" s="859">
        <v>0.65</v>
      </c>
      <c r="H11" s="857" t="s">
        <v>44</v>
      </c>
      <c r="I11" s="860">
        <v>0.78</v>
      </c>
      <c r="J11" s="847"/>
      <c r="K11" s="847"/>
      <c r="L11" s="847"/>
      <c r="M11" s="850">
        <v>0.1875</v>
      </c>
      <c r="N11" s="892" t="s">
        <v>560</v>
      </c>
      <c r="O11" s="892" t="s">
        <v>561</v>
      </c>
      <c r="P11" s="892" t="s">
        <v>556</v>
      </c>
      <c r="Q11" s="892" t="s">
        <v>550</v>
      </c>
      <c r="R11" s="847"/>
      <c r="S11" s="847"/>
    </row>
    <row r="12" spans="1:19" ht="24" customHeight="1" thickBot="1" x14ac:dyDescent="0.3">
      <c r="A12" s="853" t="s">
        <v>562</v>
      </c>
      <c r="B12" s="854">
        <f>(B5*86400/42.195-0.5)/86400*1.15</f>
        <v>5.1035475380508477E-3</v>
      </c>
      <c r="C12" s="854">
        <f>(B5*86400/42.195-0.5)/86400*1.25</f>
        <v>5.5473342804900523E-3</v>
      </c>
      <c r="D12" s="856">
        <f>ROUND(B7*G12,0)</f>
        <v>118</v>
      </c>
      <c r="E12" s="857" t="s">
        <v>44</v>
      </c>
      <c r="F12" s="858">
        <f>ROUND(B7*I12,0)</f>
        <v>143</v>
      </c>
      <c r="G12" s="859">
        <v>0.62</v>
      </c>
      <c r="H12" s="857" t="s">
        <v>44</v>
      </c>
      <c r="I12" s="860">
        <v>0.75</v>
      </c>
      <c r="J12" s="847"/>
      <c r="K12" s="847"/>
      <c r="L12" s="847"/>
      <c r="M12" s="850">
        <v>0.18402777777777779</v>
      </c>
      <c r="N12" s="892" t="s">
        <v>563</v>
      </c>
      <c r="O12" s="892" t="s">
        <v>564</v>
      </c>
      <c r="P12" s="892" t="s">
        <v>565</v>
      </c>
      <c r="Q12" s="892" t="s">
        <v>566</v>
      </c>
      <c r="R12" s="847"/>
      <c r="S12" s="847"/>
    </row>
    <row r="13" spans="1:19" ht="24" customHeight="1" thickBot="1" x14ac:dyDescent="0.3">
      <c r="A13" s="853" t="s">
        <v>567</v>
      </c>
      <c r="B13" s="854">
        <f>(B5*86400/42.195-0.5)/86400*1.3</f>
        <v>5.769227651709655E-3</v>
      </c>
      <c r="C13" s="854"/>
      <c r="D13" s="856"/>
      <c r="E13" s="857" t="s">
        <v>568</v>
      </c>
      <c r="F13" s="858">
        <f>ROUND(B7*I13,0)</f>
        <v>133</v>
      </c>
      <c r="G13" s="861"/>
      <c r="H13" s="857" t="s">
        <v>568</v>
      </c>
      <c r="I13" s="860">
        <v>0.7</v>
      </c>
      <c r="J13" s="847"/>
      <c r="K13" s="847"/>
      <c r="L13" s="847"/>
      <c r="M13" s="850">
        <v>0.18055555555555555</v>
      </c>
      <c r="N13" s="892" t="s">
        <v>569</v>
      </c>
      <c r="O13" s="892" t="s">
        <v>570</v>
      </c>
      <c r="P13" s="892" t="s">
        <v>564</v>
      </c>
      <c r="Q13" s="892" t="s">
        <v>571</v>
      </c>
      <c r="R13" s="847"/>
      <c r="S13" s="847"/>
    </row>
    <row r="14" spans="1:19" ht="24" customHeight="1" thickBot="1" x14ac:dyDescent="0.3">
      <c r="A14" s="853" t="s">
        <v>572</v>
      </c>
      <c r="B14" s="854">
        <f>'Daniels Tables'!N15</f>
        <v>4.0759103322518097E-3</v>
      </c>
      <c r="C14" s="862"/>
      <c r="D14" s="863"/>
      <c r="E14" s="864"/>
      <c r="F14" s="865"/>
      <c r="G14" s="866"/>
      <c r="H14" s="867"/>
      <c r="I14" s="868"/>
      <c r="M14" s="850">
        <v>0.17708333333333334</v>
      </c>
      <c r="N14" s="892" t="s">
        <v>573</v>
      </c>
      <c r="O14" s="892" t="s">
        <v>574</v>
      </c>
      <c r="P14" s="892" t="s">
        <v>575</v>
      </c>
      <c r="Q14" s="879" t="s">
        <v>563</v>
      </c>
    </row>
    <row r="15" spans="1:19" x14ac:dyDescent="0.25">
      <c r="A15" s="845"/>
      <c r="B15" s="845"/>
      <c r="C15" s="845"/>
      <c r="D15" s="845"/>
      <c r="E15" s="845"/>
      <c r="F15" s="845"/>
      <c r="H15" s="870"/>
      <c r="M15" s="850">
        <v>0.17361111111111113</v>
      </c>
      <c r="N15" s="892" t="s">
        <v>576</v>
      </c>
      <c r="O15" s="892" t="s">
        <v>577</v>
      </c>
      <c r="P15" s="892" t="s">
        <v>574</v>
      </c>
      <c r="Q15" s="879" t="s">
        <v>578</v>
      </c>
    </row>
    <row r="16" spans="1:19" x14ac:dyDescent="0.25">
      <c r="A16" s="845"/>
      <c r="B16" s="845"/>
      <c r="C16" s="845"/>
      <c r="D16" s="845"/>
      <c r="E16" s="845"/>
      <c r="F16" s="845"/>
      <c r="H16" s="870"/>
      <c r="M16" s="850">
        <v>0.17013888888888887</v>
      </c>
      <c r="N16" s="892" t="s">
        <v>583</v>
      </c>
      <c r="O16" s="892" t="s">
        <v>584</v>
      </c>
      <c r="P16" s="892" t="s">
        <v>577</v>
      </c>
      <c r="Q16" s="879" t="s">
        <v>585</v>
      </c>
    </row>
    <row r="17" spans="1:17" x14ac:dyDescent="0.25">
      <c r="A17" s="845"/>
      <c r="B17" s="845"/>
      <c r="C17" s="845"/>
      <c r="D17" s="845"/>
      <c r="E17" s="845"/>
      <c r="F17" s="845"/>
      <c r="H17" s="870"/>
      <c r="M17" s="850">
        <v>0.16666666666666666</v>
      </c>
      <c r="N17" s="892" t="s">
        <v>586</v>
      </c>
      <c r="O17" s="892" t="s">
        <v>587</v>
      </c>
      <c r="P17" s="892" t="s">
        <v>584</v>
      </c>
      <c r="Q17" s="879" t="s">
        <v>588</v>
      </c>
    </row>
    <row r="18" spans="1:17" x14ac:dyDescent="0.25">
      <c r="A18" s="845"/>
      <c r="B18" s="845"/>
      <c r="C18" s="845"/>
      <c r="D18" s="845"/>
      <c r="E18" s="845"/>
      <c r="F18" s="845"/>
      <c r="M18" s="850">
        <v>0.16319444444444445</v>
      </c>
      <c r="N18" s="892" t="s">
        <v>589</v>
      </c>
      <c r="O18" s="892" t="s">
        <v>576</v>
      </c>
      <c r="P18" s="892" t="s">
        <v>587</v>
      </c>
      <c r="Q18" s="879" t="s">
        <v>590</v>
      </c>
    </row>
    <row r="19" spans="1:17" ht="15.75" thickBot="1" x14ac:dyDescent="0.3">
      <c r="A19" s="845"/>
      <c r="B19" s="845"/>
      <c r="C19" s="845"/>
      <c r="D19" s="845"/>
      <c r="E19" s="845"/>
      <c r="F19" s="845"/>
      <c r="M19" s="850">
        <v>0.15972222222222224</v>
      </c>
      <c r="N19" s="892" t="s">
        <v>592</v>
      </c>
      <c r="O19" s="892" t="s">
        <v>583</v>
      </c>
      <c r="P19" s="892" t="s">
        <v>576</v>
      </c>
      <c r="Q19" s="879" t="s">
        <v>593</v>
      </c>
    </row>
    <row r="20" spans="1:17" ht="15.75" x14ac:dyDescent="0.25">
      <c r="A20" s="894" t="s">
        <v>594</v>
      </c>
      <c r="B20" s="1296" t="s">
        <v>595</v>
      </c>
      <c r="C20" s="1297"/>
      <c r="D20" s="1297"/>
      <c r="E20" s="1297"/>
      <c r="F20" s="1297"/>
      <c r="G20" s="1298"/>
      <c r="M20" s="850">
        <v>0.15625</v>
      </c>
      <c r="N20" s="892" t="s">
        <v>596</v>
      </c>
      <c r="O20" s="892" t="s">
        <v>597</v>
      </c>
      <c r="P20" s="892" t="s">
        <v>583</v>
      </c>
      <c r="Q20" s="879" t="s">
        <v>598</v>
      </c>
    </row>
    <row r="21" spans="1:17" ht="15.75" x14ac:dyDescent="0.25">
      <c r="A21" s="895" t="s">
        <v>457</v>
      </c>
      <c r="B21" s="1287" t="s">
        <v>599</v>
      </c>
      <c r="C21" s="1288"/>
      <c r="D21" s="1288"/>
      <c r="E21" s="1288"/>
      <c r="F21" s="1288"/>
      <c r="G21" s="1289"/>
      <c r="M21" s="850">
        <v>0.15277777777777776</v>
      </c>
      <c r="N21" s="879" t="s">
        <v>600</v>
      </c>
      <c r="O21" s="879" t="s">
        <v>601</v>
      </c>
      <c r="P21" s="879" t="s">
        <v>597</v>
      </c>
      <c r="Q21" s="879" t="s">
        <v>602</v>
      </c>
    </row>
    <row r="22" spans="1:17" ht="15.75" x14ac:dyDescent="0.25">
      <c r="A22" s="895" t="s">
        <v>603</v>
      </c>
      <c r="B22" s="1287" t="s">
        <v>604</v>
      </c>
      <c r="C22" s="1288"/>
      <c r="D22" s="1288"/>
      <c r="E22" s="1288"/>
      <c r="F22" s="1288"/>
      <c r="G22" s="1289"/>
      <c r="M22" s="850">
        <v>0.14930555555555555</v>
      </c>
      <c r="N22" s="879" t="s">
        <v>605</v>
      </c>
      <c r="O22" s="879" t="s">
        <v>602</v>
      </c>
      <c r="P22" s="879" t="s">
        <v>601</v>
      </c>
      <c r="Q22" s="879" t="s">
        <v>606</v>
      </c>
    </row>
    <row r="23" spans="1:17" ht="15.75" x14ac:dyDescent="0.25">
      <c r="A23" s="895" t="s">
        <v>607</v>
      </c>
      <c r="B23" s="1287" t="s">
        <v>608</v>
      </c>
      <c r="C23" s="1288"/>
      <c r="D23" s="1288"/>
      <c r="E23" s="1288"/>
      <c r="F23" s="1288"/>
      <c r="G23" s="1289"/>
      <c r="M23" s="850">
        <v>0.14583333333333334</v>
      </c>
      <c r="N23" s="879" t="s">
        <v>609</v>
      </c>
      <c r="O23" s="879" t="s">
        <v>606</v>
      </c>
      <c r="P23" s="879" t="s">
        <v>602</v>
      </c>
      <c r="Q23" s="879" t="s">
        <v>610</v>
      </c>
    </row>
    <row r="24" spans="1:17" ht="15.75" customHeight="1" x14ac:dyDescent="0.25">
      <c r="A24" s="895" t="s">
        <v>611</v>
      </c>
      <c r="B24" s="1287" t="s">
        <v>612</v>
      </c>
      <c r="C24" s="1288"/>
      <c r="D24" s="1288"/>
      <c r="E24" s="1288"/>
      <c r="F24" s="1288"/>
      <c r="G24" s="1289"/>
      <c r="M24" s="850">
        <v>0.1423611111111111</v>
      </c>
      <c r="N24" s="892" t="s">
        <v>613</v>
      </c>
      <c r="O24" s="892" t="s">
        <v>610</v>
      </c>
      <c r="P24" s="892" t="s">
        <v>614</v>
      </c>
      <c r="Q24" s="879" t="s">
        <v>615</v>
      </c>
    </row>
    <row r="25" spans="1:17" ht="15.75" customHeight="1" x14ac:dyDescent="0.25">
      <c r="A25" s="895" t="s">
        <v>616</v>
      </c>
      <c r="B25" s="1287" t="s">
        <v>617</v>
      </c>
      <c r="C25" s="1288"/>
      <c r="D25" s="1288"/>
      <c r="E25" s="1288"/>
      <c r="F25" s="1288"/>
      <c r="G25" s="1289"/>
      <c r="M25" s="850">
        <v>0.1388888888888889</v>
      </c>
      <c r="N25" s="879" t="s">
        <v>618</v>
      </c>
      <c r="O25" s="879" t="s">
        <v>615</v>
      </c>
      <c r="P25" s="879" t="s">
        <v>610</v>
      </c>
      <c r="Q25" s="879" t="s">
        <v>619</v>
      </c>
    </row>
    <row r="26" spans="1:17" ht="15.75" customHeight="1" x14ac:dyDescent="0.25">
      <c r="A26" s="895" t="s">
        <v>455</v>
      </c>
      <c r="B26" s="1287" t="s">
        <v>620</v>
      </c>
      <c r="C26" s="1288"/>
      <c r="D26" s="1288"/>
      <c r="E26" s="1288"/>
      <c r="F26" s="1288"/>
      <c r="G26" s="1289"/>
      <c r="M26" s="850">
        <v>0.13541666666666666</v>
      </c>
      <c r="N26" s="879" t="s">
        <v>621</v>
      </c>
      <c r="O26" s="879" t="s">
        <v>622</v>
      </c>
      <c r="P26" s="879" t="s">
        <v>623</v>
      </c>
      <c r="Q26" s="879" t="s">
        <v>624</v>
      </c>
    </row>
    <row r="27" spans="1:17" ht="15.75" customHeight="1" x14ac:dyDescent="0.25">
      <c r="A27" s="895" t="s">
        <v>625</v>
      </c>
      <c r="B27" s="1287" t="s">
        <v>626</v>
      </c>
      <c r="C27" s="1288"/>
      <c r="D27" s="1288"/>
      <c r="E27" s="1288"/>
      <c r="F27" s="1288"/>
      <c r="G27" s="1289"/>
      <c r="M27" s="850">
        <v>0.13194444444444445</v>
      </c>
      <c r="N27" s="879" t="s">
        <v>627</v>
      </c>
      <c r="O27" s="879" t="s">
        <v>624</v>
      </c>
      <c r="P27" s="879" t="s">
        <v>622</v>
      </c>
      <c r="Q27" s="879" t="s">
        <v>628</v>
      </c>
    </row>
    <row r="28" spans="1:17" ht="15.75" customHeight="1" x14ac:dyDescent="0.25">
      <c r="A28" s="895" t="s">
        <v>629</v>
      </c>
      <c r="B28" s="1287" t="s">
        <v>472</v>
      </c>
      <c r="C28" s="1288"/>
      <c r="D28" s="1288"/>
      <c r="E28" s="1288"/>
      <c r="F28" s="1288"/>
      <c r="G28" s="1289"/>
      <c r="M28" s="850">
        <v>0.12847222222222224</v>
      </c>
      <c r="N28" s="879" t="s">
        <v>630</v>
      </c>
      <c r="O28" s="879" t="s">
        <v>628</v>
      </c>
      <c r="P28" s="879" t="s">
        <v>631</v>
      </c>
      <c r="Q28" s="879" t="s">
        <v>632</v>
      </c>
    </row>
    <row r="29" spans="1:17" ht="15.75" customHeight="1" x14ac:dyDescent="0.25">
      <c r="A29" s="895" t="s">
        <v>633</v>
      </c>
      <c r="B29" s="1287" t="s">
        <v>634</v>
      </c>
      <c r="C29" s="1288"/>
      <c r="D29" s="1288"/>
      <c r="E29" s="1288"/>
      <c r="F29" s="1288"/>
      <c r="G29" s="1289"/>
      <c r="M29" s="850">
        <v>0.125</v>
      </c>
      <c r="N29" s="879" t="s">
        <v>635</v>
      </c>
      <c r="O29" s="879" t="s">
        <v>636</v>
      </c>
      <c r="P29" s="879" t="s">
        <v>637</v>
      </c>
      <c r="Q29" s="879" t="s">
        <v>638</v>
      </c>
    </row>
    <row r="30" spans="1:17" ht="15.75" customHeight="1" thickBot="1" x14ac:dyDescent="0.3">
      <c r="A30" s="896" t="s">
        <v>639</v>
      </c>
      <c r="B30" s="1290" t="s">
        <v>640</v>
      </c>
      <c r="C30" s="1291"/>
      <c r="D30" s="1291"/>
      <c r="E30" s="1291"/>
      <c r="F30" s="1291"/>
      <c r="G30" s="1292"/>
      <c r="M30" s="850">
        <v>0.12152777777777778</v>
      </c>
      <c r="N30" s="879" t="s">
        <v>641</v>
      </c>
      <c r="O30" s="879" t="s">
        <v>642</v>
      </c>
      <c r="P30" s="879" t="s">
        <v>643</v>
      </c>
      <c r="Q30" s="879" t="s">
        <v>644</v>
      </c>
    </row>
    <row r="31" spans="1:17" ht="15.75" customHeight="1" x14ac:dyDescent="0.25">
      <c r="A31" s="845"/>
      <c r="B31" s="845"/>
      <c r="C31" s="845"/>
      <c r="D31" s="845"/>
      <c r="E31" s="845"/>
      <c r="F31" s="845"/>
      <c r="M31" s="850">
        <v>0.24305555555555555</v>
      </c>
      <c r="N31" s="879" t="s">
        <v>645</v>
      </c>
      <c r="O31" s="879" t="s">
        <v>635</v>
      </c>
      <c r="P31" s="879" t="s">
        <v>646</v>
      </c>
      <c r="Q31" s="879" t="s">
        <v>647</v>
      </c>
    </row>
    <row r="32" spans="1:17" ht="15.75" customHeight="1" x14ac:dyDescent="0.25">
      <c r="A32" s="845"/>
      <c r="B32" s="845"/>
      <c r="C32" s="845"/>
      <c r="D32" s="845"/>
      <c r="E32" s="845"/>
      <c r="F32" s="845"/>
      <c r="M32" s="850">
        <v>0.11458333333333333</v>
      </c>
      <c r="N32" s="879" t="s">
        <v>648</v>
      </c>
      <c r="O32" s="879" t="s">
        <v>641</v>
      </c>
      <c r="P32" s="879" t="s">
        <v>649</v>
      </c>
      <c r="Q32" s="879" t="s">
        <v>650</v>
      </c>
    </row>
    <row r="33" spans="1:17" ht="15.75" customHeight="1" x14ac:dyDescent="0.25">
      <c r="A33" s="845"/>
      <c r="B33" s="845"/>
      <c r="C33" s="845"/>
      <c r="D33" s="845"/>
      <c r="E33" s="845"/>
      <c r="F33" s="845"/>
      <c r="M33" s="850">
        <v>0.1111111111111111</v>
      </c>
      <c r="N33" s="879" t="s">
        <v>651</v>
      </c>
      <c r="O33" s="879" t="s">
        <v>645</v>
      </c>
      <c r="P33" s="879" t="s">
        <v>652</v>
      </c>
      <c r="Q33" s="879" t="s">
        <v>653</v>
      </c>
    </row>
    <row r="34" spans="1:17" ht="15.75" customHeight="1" x14ac:dyDescent="0.25">
      <c r="A34" s="845"/>
      <c r="B34" s="845"/>
      <c r="C34" s="845"/>
      <c r="D34" s="845"/>
      <c r="E34" s="845"/>
      <c r="F34" s="845"/>
      <c r="M34" s="850"/>
      <c r="N34" s="879"/>
      <c r="O34" s="879"/>
      <c r="P34" s="879"/>
      <c r="Q34" s="879"/>
    </row>
    <row r="35" spans="1:17" ht="15.75" customHeight="1" x14ac:dyDescent="0.25">
      <c r="A35" s="845"/>
      <c r="B35" s="845"/>
      <c r="C35" s="845"/>
      <c r="D35" s="845"/>
      <c r="E35" s="845"/>
      <c r="F35" s="845"/>
    </row>
    <row r="36" spans="1:17" ht="15.75" customHeight="1" x14ac:dyDescent="0.25">
      <c r="A36" s="845"/>
      <c r="B36" s="845"/>
      <c r="C36" s="845"/>
      <c r="D36" s="845"/>
      <c r="E36" s="845"/>
      <c r="F36" s="845"/>
    </row>
    <row r="37" spans="1:17" ht="15.75" customHeight="1" x14ac:dyDescent="0.25">
      <c r="A37" s="845"/>
      <c r="B37" s="845"/>
      <c r="C37" s="845"/>
      <c r="D37" s="845"/>
      <c r="E37" s="845"/>
      <c r="F37" s="845"/>
    </row>
    <row r="38" spans="1:17" ht="15.75" customHeight="1" x14ac:dyDescent="0.25">
      <c r="A38" s="845"/>
      <c r="B38" s="845"/>
      <c r="C38" s="845"/>
      <c r="D38" s="845"/>
      <c r="E38" s="845"/>
      <c r="F38" s="845"/>
    </row>
    <row r="39" spans="1:17" ht="15.75" customHeight="1" x14ac:dyDescent="0.25">
      <c r="A39" s="845"/>
      <c r="B39" s="845"/>
      <c r="C39" s="845"/>
      <c r="D39" s="845"/>
      <c r="E39" s="845"/>
      <c r="F39" s="845"/>
    </row>
    <row r="40" spans="1:17" ht="15.75" customHeight="1" x14ac:dyDescent="0.25">
      <c r="A40" s="845"/>
      <c r="B40" s="845"/>
      <c r="C40" s="845"/>
      <c r="D40" s="845"/>
      <c r="E40" s="845"/>
      <c r="F40" s="845"/>
    </row>
    <row r="41" spans="1:17" ht="15.75" customHeight="1" x14ac:dyDescent="0.25">
      <c r="A41" s="845"/>
      <c r="B41" s="845"/>
      <c r="C41" s="845"/>
      <c r="D41" s="845"/>
      <c r="E41" s="845"/>
      <c r="F41" s="845"/>
    </row>
    <row r="42" spans="1:17" ht="15.75" customHeight="1" x14ac:dyDescent="0.25">
      <c r="A42" s="845"/>
      <c r="B42" s="845"/>
      <c r="C42" s="845"/>
      <c r="D42" s="845"/>
      <c r="E42" s="845"/>
      <c r="F42" s="845"/>
    </row>
    <row r="43" spans="1:17" ht="15.75" customHeight="1" x14ac:dyDescent="0.25">
      <c r="A43" s="845"/>
      <c r="B43" s="845"/>
      <c r="C43" s="845"/>
      <c r="D43" s="845"/>
      <c r="E43" s="845"/>
      <c r="F43" s="845"/>
    </row>
    <row r="44" spans="1:17" ht="15.75" customHeight="1" x14ac:dyDescent="0.25">
      <c r="A44" s="845"/>
      <c r="B44" s="845"/>
      <c r="C44" s="845"/>
      <c r="D44" s="845"/>
      <c r="E44" s="845"/>
      <c r="F44" s="845"/>
    </row>
    <row r="45" spans="1:17" ht="15.75" customHeight="1" x14ac:dyDescent="0.25">
      <c r="A45" s="845"/>
      <c r="B45" s="845"/>
      <c r="C45" s="845"/>
      <c r="D45" s="845"/>
      <c r="E45" s="845"/>
      <c r="F45" s="845"/>
    </row>
    <row r="46" spans="1:17" ht="15.75" customHeight="1" x14ac:dyDescent="0.25">
      <c r="A46" s="845"/>
      <c r="B46" s="845"/>
      <c r="C46" s="845"/>
      <c r="D46" s="845"/>
      <c r="E46" s="845"/>
      <c r="F46" s="845"/>
    </row>
    <row r="47" spans="1:17" ht="15.75" customHeight="1" x14ac:dyDescent="0.25">
      <c r="A47" s="845"/>
      <c r="B47" s="845"/>
      <c r="C47" s="845"/>
      <c r="D47" s="845"/>
      <c r="E47" s="845"/>
      <c r="F47" s="845"/>
    </row>
    <row r="48" spans="1:17" ht="15.75" customHeight="1" x14ac:dyDescent="0.25">
      <c r="A48" s="845"/>
      <c r="B48" s="845"/>
      <c r="C48" s="845"/>
      <c r="D48" s="845"/>
      <c r="E48" s="845"/>
      <c r="F48" s="845"/>
    </row>
    <row r="49" spans="1:6" ht="15.75" customHeight="1" x14ac:dyDescent="0.25">
      <c r="A49" s="845"/>
      <c r="B49" s="845"/>
      <c r="C49" s="845"/>
      <c r="D49" s="845"/>
      <c r="E49" s="845"/>
      <c r="F49" s="845"/>
    </row>
    <row r="50" spans="1:6" ht="15.75" customHeight="1" x14ac:dyDescent="0.25">
      <c r="A50" s="845"/>
      <c r="B50" s="845"/>
      <c r="C50" s="845"/>
      <c r="D50" s="845"/>
      <c r="E50" s="845"/>
      <c r="F50" s="845"/>
    </row>
    <row r="51" spans="1:6" ht="15.75" customHeight="1" x14ac:dyDescent="0.25">
      <c r="A51" s="845"/>
      <c r="B51" s="845"/>
      <c r="C51" s="845"/>
      <c r="D51" s="845"/>
      <c r="E51" s="845"/>
      <c r="F51" s="845"/>
    </row>
    <row r="52" spans="1:6" ht="15.75" customHeight="1" x14ac:dyDescent="0.25">
      <c r="A52" s="845"/>
      <c r="B52" s="845"/>
      <c r="C52" s="845"/>
      <c r="D52" s="845"/>
      <c r="E52" s="845"/>
      <c r="F52" s="845"/>
    </row>
    <row r="53" spans="1:6" ht="15.75" customHeight="1" x14ac:dyDescent="0.25">
      <c r="A53" s="845"/>
      <c r="B53" s="845"/>
      <c r="C53" s="845"/>
      <c r="D53" s="845"/>
      <c r="E53" s="845"/>
      <c r="F53" s="845"/>
    </row>
    <row r="54" spans="1:6" ht="15.75" customHeight="1" x14ac:dyDescent="0.25">
      <c r="A54" s="845"/>
      <c r="B54" s="845"/>
      <c r="C54" s="845"/>
      <c r="D54" s="845"/>
      <c r="E54" s="845"/>
      <c r="F54" s="845"/>
    </row>
    <row r="55" spans="1:6" ht="15.75" customHeight="1" x14ac:dyDescent="0.25">
      <c r="A55" s="845"/>
      <c r="B55" s="845"/>
      <c r="C55" s="845"/>
      <c r="D55" s="845"/>
      <c r="E55" s="845"/>
      <c r="F55" s="845"/>
    </row>
    <row r="56" spans="1:6" ht="15.75" customHeight="1" x14ac:dyDescent="0.25">
      <c r="A56" s="845"/>
      <c r="B56" s="845"/>
      <c r="C56" s="845"/>
      <c r="D56" s="845"/>
      <c r="E56" s="845"/>
      <c r="F56" s="845"/>
    </row>
    <row r="57" spans="1:6" ht="15.75" customHeight="1" x14ac:dyDescent="0.25">
      <c r="A57" s="845"/>
      <c r="B57" s="845"/>
      <c r="C57" s="845"/>
      <c r="D57" s="845"/>
      <c r="E57" s="845"/>
      <c r="F57" s="845"/>
    </row>
    <row r="58" spans="1:6" ht="15.75" customHeight="1" x14ac:dyDescent="0.25">
      <c r="A58" s="845"/>
      <c r="B58" s="845"/>
      <c r="C58" s="845"/>
      <c r="D58" s="845"/>
      <c r="E58" s="845"/>
      <c r="F58" s="845"/>
    </row>
    <row r="59" spans="1:6" ht="15.75" customHeight="1" x14ac:dyDescent="0.25">
      <c r="A59" s="845"/>
      <c r="B59" s="845"/>
      <c r="C59" s="845"/>
      <c r="D59" s="845"/>
      <c r="E59" s="845"/>
      <c r="F59" s="845"/>
    </row>
    <row r="60" spans="1:6" ht="15.75" customHeight="1" x14ac:dyDescent="0.25">
      <c r="A60" s="845"/>
      <c r="B60" s="845"/>
      <c r="C60" s="845"/>
      <c r="D60" s="845"/>
      <c r="E60" s="845"/>
      <c r="F60" s="845"/>
    </row>
    <row r="61" spans="1:6" ht="15.75" customHeight="1" x14ac:dyDescent="0.25">
      <c r="A61" s="845"/>
      <c r="B61" s="845"/>
      <c r="C61" s="845"/>
      <c r="D61" s="845"/>
      <c r="E61" s="845"/>
      <c r="F61" s="845"/>
    </row>
    <row r="62" spans="1:6" ht="15.75" customHeight="1" x14ac:dyDescent="0.25">
      <c r="A62" s="845"/>
      <c r="B62" s="845"/>
      <c r="C62" s="845"/>
      <c r="D62" s="845"/>
      <c r="E62" s="845"/>
      <c r="F62" s="845"/>
    </row>
    <row r="63" spans="1:6" ht="15.75" customHeight="1" x14ac:dyDescent="0.25">
      <c r="A63" s="845"/>
      <c r="B63" s="845"/>
      <c r="C63" s="845"/>
      <c r="D63" s="845"/>
      <c r="E63" s="845"/>
      <c r="F63" s="845"/>
    </row>
    <row r="64" spans="1:6" ht="15.75" customHeight="1" x14ac:dyDescent="0.25">
      <c r="A64" s="845"/>
      <c r="B64" s="845"/>
      <c r="C64" s="845"/>
      <c r="D64" s="845"/>
      <c r="E64" s="845"/>
      <c r="F64" s="845"/>
    </row>
    <row r="65" spans="1:6" ht="15.75" customHeight="1" x14ac:dyDescent="0.25">
      <c r="A65" s="845"/>
      <c r="B65" s="845"/>
      <c r="C65" s="845"/>
      <c r="D65" s="845"/>
      <c r="E65" s="845"/>
      <c r="F65" s="845"/>
    </row>
    <row r="66" spans="1:6" ht="15.75" customHeight="1" x14ac:dyDescent="0.25">
      <c r="A66" s="845"/>
      <c r="B66" s="845"/>
      <c r="C66" s="845"/>
      <c r="D66" s="845"/>
      <c r="E66" s="845"/>
      <c r="F66" s="845"/>
    </row>
    <row r="67" spans="1:6" ht="15.75" customHeight="1" x14ac:dyDescent="0.25">
      <c r="A67" s="845"/>
      <c r="B67" s="845"/>
      <c r="C67" s="845"/>
      <c r="D67" s="845"/>
      <c r="E67" s="845"/>
      <c r="F67" s="845"/>
    </row>
    <row r="68" spans="1:6" ht="15.75" customHeight="1" x14ac:dyDescent="0.25">
      <c r="A68" s="845"/>
      <c r="B68" s="845"/>
      <c r="C68" s="845"/>
      <c r="D68" s="845"/>
      <c r="E68" s="845"/>
      <c r="F68" s="845"/>
    </row>
    <row r="69" spans="1:6" ht="15.75" customHeight="1" x14ac:dyDescent="0.25">
      <c r="A69" s="845"/>
      <c r="B69" s="845"/>
      <c r="C69" s="845"/>
      <c r="D69" s="845"/>
      <c r="E69" s="845"/>
      <c r="F69" s="845"/>
    </row>
    <row r="70" spans="1:6" ht="15.75" customHeight="1" x14ac:dyDescent="0.25">
      <c r="A70" s="845"/>
      <c r="B70" s="845"/>
      <c r="C70" s="845"/>
      <c r="D70" s="845"/>
      <c r="E70" s="845"/>
      <c r="F70" s="845"/>
    </row>
    <row r="71" spans="1:6" ht="15.75" customHeight="1" x14ac:dyDescent="0.25">
      <c r="A71" s="845"/>
      <c r="B71" s="845"/>
      <c r="C71" s="845"/>
      <c r="D71" s="845"/>
      <c r="E71" s="845"/>
      <c r="F71" s="845"/>
    </row>
    <row r="72" spans="1:6" ht="15.75" customHeight="1" x14ac:dyDescent="0.25">
      <c r="A72" s="845"/>
      <c r="B72" s="845"/>
      <c r="C72" s="845"/>
      <c r="D72" s="845"/>
      <c r="E72" s="845"/>
      <c r="F72" s="845"/>
    </row>
    <row r="73" spans="1:6" ht="15.75" customHeight="1" x14ac:dyDescent="0.25">
      <c r="A73" s="845"/>
      <c r="B73" s="845"/>
      <c r="C73" s="845"/>
      <c r="D73" s="845"/>
      <c r="E73" s="845"/>
      <c r="F73" s="845"/>
    </row>
    <row r="74" spans="1:6" ht="15.75" customHeight="1" x14ac:dyDescent="0.25">
      <c r="A74" s="845"/>
      <c r="B74" s="845"/>
      <c r="C74" s="845"/>
      <c r="D74" s="845"/>
      <c r="E74" s="845"/>
      <c r="F74" s="845"/>
    </row>
    <row r="75" spans="1:6" ht="15.75" customHeight="1" x14ac:dyDescent="0.25">
      <c r="A75" s="845"/>
      <c r="B75" s="845"/>
      <c r="C75" s="845"/>
      <c r="D75" s="845"/>
      <c r="E75" s="845"/>
      <c r="F75" s="845"/>
    </row>
    <row r="76" spans="1:6" ht="15.75" customHeight="1" x14ac:dyDescent="0.25">
      <c r="A76" s="845"/>
      <c r="B76" s="845"/>
      <c r="C76" s="845"/>
      <c r="D76" s="845"/>
      <c r="E76" s="845"/>
      <c r="F76" s="845"/>
    </row>
    <row r="77" spans="1:6" ht="15.75" customHeight="1" x14ac:dyDescent="0.25">
      <c r="A77" s="845"/>
      <c r="B77" s="845"/>
      <c r="C77" s="845"/>
      <c r="D77" s="845"/>
      <c r="E77" s="845"/>
      <c r="F77" s="845"/>
    </row>
    <row r="78" spans="1:6" ht="15.75" customHeight="1" x14ac:dyDescent="0.25">
      <c r="A78" s="845"/>
      <c r="B78" s="845"/>
      <c r="C78" s="845"/>
      <c r="D78" s="845"/>
      <c r="E78" s="845"/>
      <c r="F78" s="845"/>
    </row>
    <row r="79" spans="1:6" ht="15.75" customHeight="1" x14ac:dyDescent="0.25">
      <c r="A79" s="845"/>
      <c r="B79" s="845"/>
      <c r="C79" s="845"/>
      <c r="D79" s="845"/>
      <c r="E79" s="845"/>
      <c r="F79" s="845"/>
    </row>
    <row r="80" spans="1:6" ht="15.75" customHeight="1" x14ac:dyDescent="0.25">
      <c r="A80" s="845"/>
      <c r="B80" s="845"/>
      <c r="C80" s="845"/>
      <c r="D80" s="845"/>
      <c r="E80" s="845"/>
      <c r="F80" s="845"/>
    </row>
    <row r="81" spans="1:6" ht="15.75" customHeight="1" x14ac:dyDescent="0.25">
      <c r="A81" s="845"/>
      <c r="B81" s="845"/>
      <c r="C81" s="845"/>
      <c r="D81" s="845"/>
      <c r="E81" s="845"/>
      <c r="F81" s="845"/>
    </row>
    <row r="82" spans="1:6" ht="15.75" customHeight="1" x14ac:dyDescent="0.25">
      <c r="A82" s="845"/>
      <c r="B82" s="845"/>
      <c r="C82" s="845"/>
      <c r="D82" s="845"/>
      <c r="E82" s="845"/>
      <c r="F82" s="845"/>
    </row>
    <row r="83" spans="1:6" ht="15.75" customHeight="1" x14ac:dyDescent="0.25">
      <c r="A83" s="845"/>
      <c r="B83" s="845"/>
      <c r="C83" s="845"/>
      <c r="D83" s="845"/>
      <c r="E83" s="845"/>
      <c r="F83" s="845"/>
    </row>
    <row r="84" spans="1:6" ht="15.75" customHeight="1" x14ac:dyDescent="0.25">
      <c r="A84" s="845"/>
      <c r="B84" s="845"/>
      <c r="C84" s="845"/>
      <c r="D84" s="845"/>
      <c r="E84" s="845"/>
      <c r="F84" s="845"/>
    </row>
    <row r="85" spans="1:6" ht="15.75" customHeight="1" x14ac:dyDescent="0.25">
      <c r="A85" s="845"/>
      <c r="B85" s="845"/>
      <c r="C85" s="845"/>
      <c r="D85" s="845"/>
      <c r="E85" s="845"/>
      <c r="F85" s="845"/>
    </row>
    <row r="86" spans="1:6" ht="15.75" customHeight="1" x14ac:dyDescent="0.25">
      <c r="A86" s="845"/>
      <c r="B86" s="845"/>
      <c r="C86" s="845"/>
      <c r="D86" s="845"/>
      <c r="E86" s="845"/>
      <c r="F86" s="845"/>
    </row>
    <row r="87" spans="1:6" ht="15.75" customHeight="1" x14ac:dyDescent="0.25">
      <c r="A87" s="845"/>
      <c r="B87" s="845"/>
      <c r="C87" s="845"/>
      <c r="D87" s="845"/>
      <c r="E87" s="845"/>
      <c r="F87" s="845"/>
    </row>
    <row r="88" spans="1:6" ht="15.75" customHeight="1" x14ac:dyDescent="0.25">
      <c r="A88" s="845"/>
      <c r="B88" s="845"/>
      <c r="C88" s="845"/>
      <c r="D88" s="845"/>
      <c r="E88" s="845"/>
      <c r="F88" s="845"/>
    </row>
    <row r="89" spans="1:6" ht="15.75" customHeight="1" x14ac:dyDescent="0.25">
      <c r="A89" s="845"/>
      <c r="B89" s="845"/>
      <c r="C89" s="845"/>
      <c r="D89" s="845"/>
      <c r="E89" s="845"/>
      <c r="F89" s="845"/>
    </row>
    <row r="90" spans="1:6" ht="15.75" customHeight="1" x14ac:dyDescent="0.25">
      <c r="A90" s="845"/>
      <c r="B90" s="845"/>
      <c r="C90" s="845"/>
      <c r="D90" s="845"/>
      <c r="E90" s="845"/>
      <c r="F90" s="845"/>
    </row>
    <row r="91" spans="1:6" ht="15.75" customHeight="1" x14ac:dyDescent="0.25">
      <c r="A91" s="845"/>
      <c r="B91" s="845"/>
      <c r="C91" s="845"/>
      <c r="D91" s="845"/>
      <c r="E91" s="845"/>
      <c r="F91" s="845"/>
    </row>
    <row r="92" spans="1:6" ht="15.75" customHeight="1" x14ac:dyDescent="0.25">
      <c r="A92" s="845"/>
      <c r="B92" s="845"/>
      <c r="C92" s="845"/>
      <c r="D92" s="845"/>
      <c r="E92" s="845"/>
      <c r="F92" s="845"/>
    </row>
    <row r="93" spans="1:6" ht="15.75" customHeight="1" x14ac:dyDescent="0.25">
      <c r="A93" s="845"/>
      <c r="B93" s="845"/>
      <c r="C93" s="845"/>
      <c r="D93" s="845"/>
      <c r="E93" s="845"/>
      <c r="F93" s="845"/>
    </row>
  </sheetData>
  <sheetProtection algorithmName="SHA-512" hashValue="pse2f8922PPpyzxsR3AwlUtO8IKsx8DBpZhKkTVaQZ5CKKwJH6rp929a8cGy63OmsL3DTflR9jTTFTdIk9mIoQ==" saltValue="VepkgX3OiAazWMV+9JdKTA==" spinCount="100000" sheet="1" objects="1" scenarios="1"/>
  <mergeCells count="17">
    <mergeCell ref="B27:G27"/>
    <mergeCell ref="B28:G28"/>
    <mergeCell ref="B29:G29"/>
    <mergeCell ref="B30:G30"/>
    <mergeCell ref="B6:I6"/>
    <mergeCell ref="B21:G21"/>
    <mergeCell ref="B22:G22"/>
    <mergeCell ref="B23:G23"/>
    <mergeCell ref="B24:G24"/>
    <mergeCell ref="B25:G25"/>
    <mergeCell ref="B26:G26"/>
    <mergeCell ref="B20:G20"/>
    <mergeCell ref="B4:C4"/>
    <mergeCell ref="D4:F4"/>
    <mergeCell ref="G4:I4"/>
    <mergeCell ref="B5:I5"/>
    <mergeCell ref="B7:I7"/>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PaceCalMaxHR</vt:lpstr>
      <vt:lpstr>AM55MaxHR</vt:lpstr>
      <vt:lpstr>Daniels Tables</vt:lpstr>
      <vt:lpstr>PaceCalHHR</vt:lpstr>
      <vt:lpstr>AM55MaxHR!Print_Area</vt:lpstr>
      <vt:lpstr>PaceCalMaxHR!Print_Area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dc:creator>
  <cp:lastModifiedBy>Brian Su</cp:lastModifiedBy>
  <cp:lastPrinted>2020-12-29T00:37:09Z</cp:lastPrinted>
  <dcterms:created xsi:type="dcterms:W3CDTF">2018-11-28T21:48:46Z</dcterms:created>
  <dcterms:modified xsi:type="dcterms:W3CDTF">2022-06-14T12:04:52Z</dcterms:modified>
</cp:coreProperties>
</file>